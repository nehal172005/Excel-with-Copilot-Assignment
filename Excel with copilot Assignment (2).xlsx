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1" sheetId="1" r:id="rId4"/>
    <sheet state="visible" name="Q2" sheetId="2" r:id="rId5"/>
    <sheet state="visible" name="Q3" sheetId="3" r:id="rId6"/>
    <sheet state="visible" name="Q4" sheetId="4" r:id="rId7"/>
    <sheet state="visible" name="Q5" sheetId="5" r:id="rId8"/>
    <sheet state="visible" name="Q6" sheetId="6" r:id="rId9"/>
    <sheet state="visible" name="Pivot Table 1" sheetId="7" r:id="rId10"/>
    <sheet state="visible" name="Q7" sheetId="8" r:id="rId11"/>
    <sheet state="visible" name="Pivot Table 2" sheetId="9" r:id="rId12"/>
    <sheet state="visible" name="Q8" sheetId="10" r:id="rId13"/>
    <sheet state="visible" name="Pivot Table 3" sheetId="11" r:id="rId14"/>
    <sheet state="visible" name="Pivot Table 4" sheetId="12" r:id="rId15"/>
    <sheet state="visible" name="Pivot Table 5" sheetId="13" r:id="rId16"/>
    <sheet state="visible" name="Pivot Table 6" sheetId="14" r:id="rId17"/>
    <sheet state="visible" name="DASH BOARD" sheetId="15" r:id="rId18"/>
    <sheet state="visible" name="Q9" sheetId="16" r:id="rId19"/>
  </sheets>
  <definedNames>
    <definedName hidden="1" localSheetId="5" name="Z_0366369C_4232_4545_ABDD_3EE3A2A56F08_.wvu.FilterData">'Q6'!$A$5:$L$355</definedName>
    <definedName hidden="1" localSheetId="7" name="Z_0366369C_4232_4545_ABDD_3EE3A2A56F08_.wvu.FilterData">'Q7'!$B$5:$L$355</definedName>
    <definedName name="SlicerCache_Table_1_Col_3">#N/A</definedName>
    <definedName name="SlicerCache_Table_2_Col_2">#N/A</definedName>
    <definedName name="SlicerCache_Table_2_Col_4">#N/A</definedName>
  </definedNames>
  <calcPr/>
  <customWorkbookViews>
    <customWorkbookView activeSheetId="0" maximized="1" windowHeight="0" windowWidth="0" guid="{0366369C-4232-4545-ABDD-3EE3A2A56F08}" name="Filter 1"/>
  </customWorkbookViews>
  <pivotCaches>
    <pivotCache cacheId="0" r:id="rId20"/>
    <pivotCache cacheId="1" r:id="rId21"/>
    <pivotCache cacheId="2" r:id="rId22"/>
  </pivotCaches>
  <extLst>
    <ext uri="{46BE6895-7355-4a93-B00E-2C351335B9C9}">
      <x15:slicerCaches>
        <x14:slicerCache r:id="rId23"/>
        <x14:slicerCache r:id="rId24"/>
        <x14:slicerCache r:id="rId25"/>
      </x15:slicerCaches>
    </ext>
  </extLst>
</workbook>
</file>

<file path=xl/sharedStrings.xml><?xml version="1.0" encoding="utf-8"?>
<sst xmlns="http://schemas.openxmlformats.org/spreadsheetml/2006/main" count="16972" uniqueCount="522">
  <si>
    <t>Question 1)</t>
  </si>
  <si>
    <t>Use Copilot to identify and summarize missing values in the dataset.</t>
  </si>
  <si>
    <t>Order ID</t>
  </si>
  <si>
    <t>Region</t>
  </si>
  <si>
    <t>Country</t>
  </si>
  <si>
    <t>Category</t>
  </si>
  <si>
    <t>Sales Channel</t>
  </si>
  <si>
    <t>Order Priority</t>
  </si>
  <si>
    <t>Order Date</t>
  </si>
  <si>
    <t>Units Sold</t>
  </si>
  <si>
    <t>Unit Price</t>
  </si>
  <si>
    <t>Unit Cost</t>
  </si>
  <si>
    <t>Answer</t>
  </si>
  <si>
    <t>ORD0001</t>
  </si>
  <si>
    <t>East</t>
  </si>
  <si>
    <t>Germany</t>
  </si>
  <si>
    <t>Beverages</t>
  </si>
  <si>
    <t>Online</t>
  </si>
  <si>
    <t>High</t>
  </si>
  <si>
    <t>ORD0002</t>
  </si>
  <si>
    <t>West</t>
  </si>
  <si>
    <t>India</t>
  </si>
  <si>
    <t>Food</t>
  </si>
  <si>
    <t>Low</t>
  </si>
  <si>
    <t>copilot was used to analyze the dataset for missing values</t>
  </si>
  <si>
    <t>ORD0003</t>
  </si>
  <si>
    <t>North</t>
  </si>
  <si>
    <t>Clothing</t>
  </si>
  <si>
    <t>Offline</t>
  </si>
  <si>
    <t>It identified the missing values in the following columns:</t>
  </si>
  <si>
    <t>ORD0004</t>
  </si>
  <si>
    <t>USA</t>
  </si>
  <si>
    <t>Furniture</t>
  </si>
  <si>
    <t>Medium</t>
  </si>
  <si>
    <t>a) Region</t>
  </si>
  <si>
    <t>- Contains missing values</t>
  </si>
  <si>
    <t>ORD0005</t>
  </si>
  <si>
    <t>b) Category</t>
  </si>
  <si>
    <t>ORD0006</t>
  </si>
  <si>
    <t>UK</t>
  </si>
  <si>
    <t>c) Units Sold</t>
  </si>
  <si>
    <t>- Contains missing numerical values</t>
  </si>
  <si>
    <t>ORD0007</t>
  </si>
  <si>
    <t>d) unit price</t>
  </si>
  <si>
    <t>ORD0008</t>
  </si>
  <si>
    <t>ORD0009</t>
  </si>
  <si>
    <t>the summary showed that both categorical and numerical</t>
  </si>
  <si>
    <t>ORD0010</t>
  </si>
  <si>
    <t>columns contained black or null values which needed cleaning</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</si>
  <si>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</si>
  <si>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</si>
  <si>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</si>
  <si>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</si>
  <si>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</si>
  <si>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</si>
  <si>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</si>
  <si>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</si>
  <si>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</si>
  <si>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</si>
  <si>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</si>
  <si>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</si>
  <si>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</si>
  <si>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</si>
  <si>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</si>
  <si>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</si>
  <si>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</si>
  <si>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</si>
  <si>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</si>
  <si>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</si>
  <si>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</si>
  <si>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</si>
  <si>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</si>
  <si>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</si>
  <si>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</si>
  <si>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</si>
  <si>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</si>
  <si>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</si>
  <si>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</si>
  <si>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</si>
  <si>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</si>
  <si>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</si>
  <si>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</si>
  <si>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</si>
  <si>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</si>
  <si>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</si>
  <si>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</si>
  <si>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</si>
  <si>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</si>
  <si>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</si>
  <si>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</si>
  <si>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</si>
  <si>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</si>
  <si>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</si>
  <si>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</si>
  <si>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</si>
  <si>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</si>
  <si>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</si>
  <si>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</si>
  <si>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</si>
  <si>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</si>
  <si>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</si>
  <si>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</si>
  <si>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</si>
  <si>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</si>
  <si>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</si>
  <si>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</si>
  <si>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</si>
  <si>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</si>
  <si>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</si>
  <si>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</si>
  <si>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</si>
  <si>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</si>
  <si>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</si>
  <si>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</si>
  <si>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</si>
  <si>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</si>
  <si>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</si>
  <si>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</si>
  <si>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</si>
  <si>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</si>
  <si>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</si>
  <si>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</si>
  <si>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</si>
  <si>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</si>
  <si>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</si>
  <si>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</si>
  <si>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</si>
  <si>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</si>
  <si>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</si>
  <si>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</si>
  <si>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</si>
  <si>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</si>
  <si>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</si>
  <si>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</si>
  <si>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</si>
  <si>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</si>
  <si>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</si>
  <si>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</si>
  <si>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</si>
  <si>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</si>
  <si>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</si>
  <si>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</si>
  <si>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</si>
  <si>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</si>
  <si>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</si>
  <si>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</si>
  <si>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</si>
  <si>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</si>
  <si>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</si>
  <si>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</si>
  <si>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</si>
  <si>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</si>
  <si>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</si>
  <si>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</si>
  <si>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</si>
  <si>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</si>
  <si>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</si>
  <si>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</si>
  <si>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</si>
  <si>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</si>
  <si>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</si>
  <si>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</si>
  <si>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</si>
  <si>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</si>
  <si>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</si>
  <si>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</si>
  <si>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</si>
  <si>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</si>
  <si>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</si>
  <si>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</si>
  <si>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</si>
  <si>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</si>
  <si>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</si>
  <si>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</si>
  <si>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</si>
  <si>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</si>
  <si>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</si>
  <si>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</si>
  <si>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</si>
  <si>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</si>
  <si>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</si>
  <si>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</si>
  <si>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</si>
  <si>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</si>
  <si>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</si>
  <si>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</si>
  <si>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</si>
  <si>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</si>
  <si>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</si>
  <si>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</si>
  <si>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</si>
  <si>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</si>
  <si>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</si>
  <si>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</si>
  <si>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</si>
  <si>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</si>
  <si>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</si>
  <si>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</si>
  <si>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</si>
  <si>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</si>
  <si>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</si>
  <si>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</si>
  <si>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</si>
  <si>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</si>
  <si>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</si>
  <si>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</si>
  <si>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</si>
  <si>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</si>
  <si>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</si>
  <si>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</si>
  <si>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</si>
  <si>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</si>
  <si>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</si>
  <si>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</si>
  <si>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</si>
  <si>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</si>
  <si>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</si>
  <si>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</si>
  <si>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</si>
  <si>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</si>
  <si>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</si>
  <si>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</si>
  <si>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</si>
  <si>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</si>
  <si>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</si>
  <si>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</si>
  <si>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</si>
  <si>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</si>
  <si>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</si>
  <si>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</si>
  <si>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</si>
  <si>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</si>
  <si>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</si>
  <si>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</si>
  <si>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</si>
  <si>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</si>
  <si>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</si>
  <si>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</si>
  <si>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</si>
  <si>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</si>
  <si>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</si>
  <si>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</si>
  <si>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</si>
  <si>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</si>
  <si>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</si>
  <si>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</si>
  <si>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</si>
  <si>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</si>
  <si>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</si>
  <si>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</si>
  <si>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</si>
  <si>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</si>
  <si>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</si>
  <si>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</si>
  <si>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</si>
  <si>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</si>
  <si>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</si>
  <si>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</si>
  <si>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</si>
  <si>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</si>
  <si>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</si>
  <si>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</si>
  <si>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</si>
  <si>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</si>
  <si>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</si>
  <si>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</si>
  <si>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</si>
  <si>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</si>
  <si>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</si>
  <si>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</si>
  <si>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</si>
  <si>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</si>
  <si>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</si>
  <si>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</si>
  <si>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</si>
  <si>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</si>
  <si>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</si>
  <si>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</si>
  <si>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</si>
  <si>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</si>
  <si>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</si>
  <si>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</si>
  <si>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</si>
  <si>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</si>
  <si>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</si>
  <si>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</si>
  <si>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</si>
  <si>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</si>
  <si>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</si>
  <si>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</si>
  <si>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</si>
  <si>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</si>
  <si>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</si>
  <si>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</si>
  <si>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</si>
  <si>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</si>
  <si>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</si>
  <si>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</si>
  <si>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</si>
  <si>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</si>
  <si>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</si>
  <si>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</si>
  <si>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</si>
  <si>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</si>
  <si>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</si>
  <si>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</si>
  <si>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</si>
  <si>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</si>
  <si>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</si>
  <si>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</si>
  <si>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</si>
  <si>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</si>
  <si>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</si>
  <si>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</si>
  <si>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</si>
  <si>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</si>
  <si>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</si>
  <si>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</si>
  <si>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</si>
  <si>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</si>
  <si>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</si>
  <si>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</si>
  <si>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</si>
  <si>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</si>
  <si>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</si>
  <si>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</si>
  <si>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</si>
  <si>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</si>
  <si>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</si>
  <si>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</si>
  <si>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</si>
  <si>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</si>
  <si>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</si>
  <si>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</si>
  <si>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</si>
  <si>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</si>
  <si>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</si>
  <si>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</si>
  <si>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</si>
  <si>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</si>
  <si>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</si>
  <si>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</si>
  <si>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</si>
  <si>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</si>
  <si>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</si>
  <si>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</si>
  <si>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</si>
  <si>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</si>
  <si>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</si>
  <si>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</si>
  <si>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</si>
  <si>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</si>
  <si>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</si>
  <si>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</si>
  <si>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</si>
  <si>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</si>
  <si>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</si>
  <si>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</si>
  <si>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</si>
  <si>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</si>
  <si>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</si>
  <si>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</si>
  <si>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</si>
  <si>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</si>
  <si>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</si>
  <si>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</si>
  <si>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</si>
  <si>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</si>
  <si>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</si>
  <si>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</si>
  <si>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</si>
  <si>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</si>
  <si>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</si>
  <si>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</si>
  <si>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</si>
  <si>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</si>
  <si>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</si>
  <si>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</si>
  <si>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</si>
  <si>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</si>
  <si>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</si>
  <si>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</si>
  <si>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</si>
  <si>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</si>
  <si>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</si>
  <si>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</si>
  <si>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</si>
  <si>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</si>
  <si>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</si>
  <si>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</si>
  <si>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</si>
  <si>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</si>
  <si>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Question 2 )</t>
  </si>
  <si>
    <t xml:space="preserve"> Use Copilot to fill missing values in the Region  and Category  columns.</t>
  </si>
  <si>
    <t>order Id</t>
  </si>
  <si>
    <t>Copilot as used to automatically fill missing values</t>
  </si>
  <si>
    <t>in the Region and Category columns.</t>
  </si>
  <si>
    <t xml:space="preserve">the missing categorical value was filled using the most </t>
  </si>
  <si>
    <t>frequent ( mode ) values in their respective columns to</t>
  </si>
  <si>
    <t>maintain data consistency</t>
  </si>
  <si>
    <t xml:space="preserve">Region column missing value is filled with its most </t>
  </si>
  <si>
    <t>frequent value west using the light yellow fill colour</t>
  </si>
  <si>
    <t>category column missing value is filled with its ,most</t>
  </si>
  <si>
    <t>frequent value brevereges using the light blue fill colour.</t>
  </si>
  <si>
    <t>Question 3 )</t>
  </si>
  <si>
    <t xml:space="preserve"> Fill missing numeric values in the unit sold  and  unit price columns.</t>
  </si>
  <si>
    <t>in the unit sold  and unit price columns.</t>
  </si>
  <si>
    <t xml:space="preserve">maintain data consistency for unit sold  but for unit price </t>
  </si>
  <si>
    <t>average is used as mode not applicable</t>
  </si>
  <si>
    <t xml:space="preserve">Unit sold  column missing value is filled with its most </t>
  </si>
  <si>
    <t>frequent value 49 using the light yellow fill colour</t>
  </si>
  <si>
    <t xml:space="preserve">Unit price  column missing value is filled with its </t>
  </si>
  <si>
    <t>average value 249.6452059 using the light blue fill colour.</t>
  </si>
  <si>
    <t>Question 4 )</t>
  </si>
  <si>
    <t>Create a new calculated column Total Revenue.</t>
  </si>
  <si>
    <t>\</t>
  </si>
  <si>
    <t>Total Revenue</t>
  </si>
  <si>
    <t>here copilot is used to create a new column  :</t>
  </si>
  <si>
    <t xml:space="preserve">For creating a new column " Total revenue " </t>
  </si>
  <si>
    <t xml:space="preserve">we insert a new column by right click on column J </t>
  </si>
  <si>
    <t>and insert 1 column right  and named it Total revenue</t>
  </si>
  <si>
    <t>A new calculated column total Revenue was created</t>
  </si>
  <si>
    <t xml:space="preserve">using the formula : </t>
  </si>
  <si>
    <t>total Revenue = unit sold * unit price</t>
  </si>
  <si>
    <t>question 5 )</t>
  </si>
  <si>
    <t>Q5. Use Copilot to find the total price of Order ID = ‘ORD0123’.</t>
  </si>
  <si>
    <t>is the total price of Order Id= ORD0123</t>
  </si>
  <si>
    <t>EXPLANATION:</t>
  </si>
  <si>
    <t xml:space="preserve">Here copilot is used for the instructions </t>
  </si>
  <si>
    <t>first we create a helper column Total Revenue</t>
  </si>
  <si>
    <t xml:space="preserve">then, by using the SUMIF formula we got the answer </t>
  </si>
  <si>
    <t>of this question</t>
  </si>
  <si>
    <t>Formula is</t>
  </si>
  <si>
    <t>O9=SUMIF(B5:B355,"ORD0123",L5:L355)</t>
  </si>
  <si>
    <t>Total Revenue =</t>
  </si>
  <si>
    <t>unit sold * unit price</t>
  </si>
  <si>
    <t>Question 6)</t>
  </si>
  <si>
    <t>Use Copilot to generate a summary chart of average profit by region.</t>
  </si>
  <si>
    <t>Profit</t>
  </si>
  <si>
    <t>Here copilot is used to create average profit by region chart</t>
  </si>
  <si>
    <t>we first create a profit column by using formula</t>
  </si>
  <si>
    <t xml:space="preserve">profit = </t>
  </si>
  <si>
    <t>Total revenue( unit sold * unit price )- Total cost ( unit sold * unit cost )</t>
  </si>
  <si>
    <t>Then we select the entire data and imsert a pivot table</t>
  </si>
  <si>
    <t>then from that we insert pivot charts and then we add slicers</t>
  </si>
  <si>
    <t>and remove the blank cells from the pivot tavle and chart</t>
  </si>
  <si>
    <t>now the pivot table 1 is created in next sheet which shows average profit by region</t>
  </si>
  <si>
    <t xml:space="preserve">and also the pivot chart is created there byb selecting rows as region and </t>
  </si>
  <si>
    <t xml:space="preserve"> values as profit summarised by average</t>
  </si>
  <si>
    <t>AVERAGE of Profit</t>
  </si>
  <si>
    <t>Question 7 )</t>
  </si>
  <si>
    <t>Create a pivot table summarizing total sales by category and region.</t>
  </si>
  <si>
    <t>Total sales</t>
  </si>
  <si>
    <t>Here copilot is used to create a pivot table summarising total sales</t>
  </si>
  <si>
    <t>by category and region</t>
  </si>
  <si>
    <t>Steps :</t>
  </si>
  <si>
    <t xml:space="preserve">a ) First we create a new column total sales by </t>
  </si>
  <si>
    <t xml:space="preserve">         Formula =</t>
  </si>
  <si>
    <t>Unit sold * unit price</t>
  </si>
  <si>
    <t>b ) Then we select the entire data and insert pivot table</t>
  </si>
  <si>
    <t xml:space="preserve">       by selecting rows as region , columns as category</t>
  </si>
  <si>
    <t xml:space="preserve">        and values as  Total sales by average</t>
  </si>
  <si>
    <t xml:space="preserve"> c ) Then we add slicers so that we can remove blank </t>
  </si>
  <si>
    <t xml:space="preserve">      rows and columns dara </t>
  </si>
  <si>
    <t xml:space="preserve">  d ) and then a pivot table 2 is created</t>
  </si>
  <si>
    <t>SUM of Total sales</t>
  </si>
  <si>
    <t>Grand Total</t>
  </si>
  <si>
    <t>Question  8 )</t>
  </si>
  <si>
    <t>Build a dashboard combining key KPIs and charts.</t>
  </si>
  <si>
    <t>Total orders</t>
  </si>
  <si>
    <t xml:space="preserve">
</t>
  </si>
  <si>
    <t>Copilot is used to crate a dash Board by</t>
  </si>
  <si>
    <t>First crating 3 Columns Total sales, Profit and total order</t>
  </si>
  <si>
    <t>by their respective formulas</t>
  </si>
  <si>
    <t>Then we create a total all pivot table summarising all things</t>
  </si>
  <si>
    <t xml:space="preserve">Then create pivot table for </t>
  </si>
  <si>
    <t>a ) total sales by region</t>
  </si>
  <si>
    <t xml:space="preserve"> b ) average profit by region</t>
  </si>
  <si>
    <t>c ) sales share by category</t>
  </si>
  <si>
    <t xml:space="preserve"> Then create their respective charts</t>
  </si>
  <si>
    <t>and a Dashboard is created including KPIs , pivot table and charts</t>
  </si>
  <si>
    <t>---------------------------------------------------</t>
  </si>
  <si>
    <t>|   Total Sales   |   Total Profit   |   Avg Profit   |   Total Orders   |</t>
  </si>
  <si>
    <t>|   Column Chart (Sales by Region)   |   Bar Chart (Avg Profit)   |   Pie Chart (Category Sales)   |</t>
  </si>
  <si>
    <t>|   PivotTable: Sales by Region      |</t>
  </si>
  <si>
    <t>|   PivotTable: Profit by Region     |</t>
  </si>
  <si>
    <t>|   PivotTable: Sales by Category    |</t>
  </si>
  <si>
    <t>like the above format</t>
  </si>
  <si>
    <t>NOTE : in all things we have excluded Blanks from rows and categories</t>
  </si>
  <si>
    <t xml:space="preserve">              by using filter option</t>
  </si>
  <si>
    <t>Values</t>
  </si>
  <si>
    <t>SUM of Profit</t>
  </si>
  <si>
    <t>COUNT of Total orders</t>
  </si>
  <si>
    <t>💰 Total Sales      📊 Total Profit      📦 Orders      🌍 Avg Profit per Region</t>
  </si>
  <si>
    <t xml:space="preserve"> East =  13452.7, North = 16029.9</t>
  </si>
  <si>
    <t>south =  21600.4</t>
  </si>
  <si>
    <t>west = 12676.7</t>
  </si>
  <si>
    <t>Question 9 )</t>
  </si>
  <si>
    <t>Use Copilot to generate a summary report.</t>
  </si>
  <si>
    <t>Key Performance Indicators (KPIs)</t>
  </si>
  <si>
    <t>Region‑wise Performance</t>
  </si>
  <si>
    <t>Category‑wise sales Share</t>
  </si>
  <si>
    <t>Total Sales</t>
  </si>
  <si>
    <t>Average Profit per order</t>
  </si>
  <si>
    <t>Total Profit</t>
  </si>
  <si>
    <t>Sales Share (%)</t>
  </si>
  <si>
    <t>💰 Total Sales: 20,177,961.62</t>
  </si>
  <si>
    <t>📊 Total Profit: 4,860,695.69</t>
  </si>
  <si>
    <t>Brevereges</t>
  </si>
  <si>
    <t>📦 Total Orders: 330</t>
  </si>
  <si>
    <t>🌍 Overall Average Profit per Order: ≈ 14,740</t>
  </si>
  <si>
    <t>Insights</t>
  </si>
  <si>
    <t>Here Copilot is used for summary report</t>
  </si>
  <si>
    <t>by using the data sheet , pivot table and charts</t>
  </si>
  <si>
    <t>Sales vs Profit: Sales are strong across all regions, but profit margin varies.</t>
  </si>
  <si>
    <t>sales performance analysis and profit analysis</t>
  </si>
  <si>
    <t>and it generate the valuable insights which help</t>
  </si>
  <si>
    <t>Orders: 330 valid orders after excluding blanks.</t>
  </si>
  <si>
    <t>the organisation undersatnd the data</t>
  </si>
  <si>
    <t>and used it as a report</t>
  </si>
  <si>
    <t>Efficiency: Average profit per order ≈ 14.7k, showing consistent profitability.</t>
  </si>
  <si>
    <t>Transparency: Blanks in Region &amp; Category excluded for clean reporting.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</si>
</sst>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14">
    <font>
      <sz val="10.0"/>
      <color rgb="FF000000"/>
      <name val="Arial"/>
      <scheme val="minor"/>
    </font>
    <font>
      <sz val="15.0"/>
      <color theme="1"/>
      <name val="Arial"/>
    </font>
    <font>
      <color theme="1"/>
      <name val="Arial"/>
      <scheme val="minor"/>
    </font>
    <font>
      <b/>
      <sz val="11.0"/>
      <color theme="1"/>
      <name val="Calibri"/>
    </font>
    <font>
      <sz val="15.0"/>
      <color theme="1"/>
      <name val="Arial"/>
      <scheme val="minor"/>
    </font>
    <font>
      <sz val="11.0"/>
      <color theme="1"/>
      <name val="Calibri"/>
    </font>
    <font>
      <b/>
      <color theme="1"/>
      <name val="Arial"/>
      <scheme val="minor"/>
    </font>
    <font>
      <sz val="14.0"/>
      <color theme="1"/>
      <name val="Arial"/>
      <scheme val="minor"/>
    </font>
    <font>
      <sz val="16.0"/>
      <color theme="1"/>
      <name val="Arial"/>
      <scheme val="minor"/>
    </font>
    <font>
      <sz val="11.0"/>
      <color theme="1"/>
      <name val="Arial"/>
      <scheme val="minor"/>
    </font>
    <font>
      <sz val="16.0"/>
      <color rgb="FF000000"/>
      <name val="Arial"/>
      <scheme val="minor"/>
    </font>
    <font>
      <color rgb="FF000000"/>
      <name val="Arial"/>
      <scheme val="minor"/>
    </font>
    <font>
      <b/>
      <sz val="12.0"/>
      <color theme="1"/>
      <name val="Arial"/>
      <scheme val="minor"/>
    </font>
    <font>
      <sz val="12.0"/>
      <color theme="1"/>
      <name val="Arial"/>
      <scheme val="minor"/>
    </font>
  </fonts>
  <fills count="17">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00FFFF"/>
        <bgColor rgb="FF00FFFF"/>
      </patternFill>
    </fill>
    <fill>
      <patternFill patternType="solid">
        <fgColor rgb="FFFFD7D7"/>
        <bgColor rgb="FFFFD7D7"/>
      </patternFill>
    </fill>
    <fill>
      <patternFill patternType="solid">
        <fgColor rgb="FFFFF2CC"/>
        <bgColor rgb="FFFFF2CC"/>
      </patternFill>
    </fill>
    <fill>
      <patternFill patternType="solid">
        <fgColor rgb="FFFFE599"/>
        <bgColor rgb="FFFFE599"/>
      </patternFill>
    </fill>
    <fill>
      <patternFill patternType="solid">
        <fgColor rgb="FFF9CB9C"/>
        <bgColor rgb="FFF9CB9C"/>
      </patternFill>
    </fill>
    <fill>
      <patternFill patternType="solid">
        <fgColor rgb="FFFF9900"/>
        <bgColor rgb="FFFF9900"/>
      </patternFill>
    </fill>
    <fill>
      <patternFill patternType="solid">
        <fgColor rgb="FFF4CCCC"/>
        <bgColor rgb="FFF4CCCC"/>
      </patternFill>
    </fill>
    <fill>
      <patternFill patternType="solid">
        <fgColor rgb="FF9900FF"/>
        <bgColor rgb="FF9900FF"/>
      </patternFill>
    </fill>
    <fill>
      <patternFill patternType="solid">
        <fgColor theme="4"/>
        <bgColor theme="4"/>
      </patternFill>
    </fill>
    <fill>
      <patternFill patternType="solid">
        <fgColor rgb="FFFCE5CD"/>
        <bgColor rgb="FFFCE5CD"/>
      </patternFill>
    </fill>
    <fill>
      <patternFill patternType="solid">
        <fgColor rgb="FFFFD966"/>
        <bgColor rgb="FFFFD966"/>
      </patternFill>
    </fill>
    <fill>
      <patternFill patternType="solid">
        <fgColor theme="6"/>
        <bgColor theme="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readingOrder="0" vertical="bottom"/>
    </xf>
    <xf borderId="0" fillId="2" fontId="2" numFmtId="0" xfId="0" applyFont="1"/>
    <xf borderId="1" fillId="0" fontId="3" numFmtId="0" xfId="0" applyAlignment="1" applyBorder="1" applyFont="1">
      <alignment horizontal="center" vertical="top"/>
    </xf>
    <xf borderId="0" fillId="3" fontId="4" numFmtId="0" xfId="0" applyAlignment="1" applyFill="1" applyFont="1">
      <alignment readingOrder="0"/>
    </xf>
    <xf borderId="0" fillId="0" fontId="5" numFmtId="0" xfId="0" applyAlignment="1" applyFont="1">
      <alignment vertical="bottom"/>
    </xf>
    <xf borderId="0" fillId="0" fontId="5" numFmtId="164" xfId="0" applyAlignment="1" applyFont="1" applyNumberFormat="1">
      <alignment horizontal="right" vertical="bottom"/>
    </xf>
    <xf borderId="0" fillId="0" fontId="5" numFmtId="0" xfId="0" applyAlignment="1" applyFont="1">
      <alignment horizontal="right" vertical="bottom"/>
    </xf>
    <xf borderId="0" fillId="4" fontId="4" numFmtId="0" xfId="0" applyFill="1" applyFont="1"/>
    <xf borderId="0" fillId="4" fontId="2" numFmtId="0" xfId="0" applyFont="1"/>
    <xf borderId="0" fillId="5" fontId="4" numFmtId="0" xfId="0" applyAlignment="1" applyFill="1" applyFont="1">
      <alignment readingOrder="0"/>
    </xf>
    <xf borderId="0" fillId="5" fontId="4" numFmtId="0" xfId="0" applyFont="1"/>
    <xf borderId="0" fillId="0" fontId="4" numFmtId="0" xfId="0" applyFont="1"/>
    <xf borderId="0" fillId="0" fontId="2" numFmtId="0" xfId="0" applyFont="1"/>
    <xf borderId="0" fillId="2" fontId="4" numFmtId="0" xfId="0" applyAlignment="1" applyFont="1">
      <alignment readingOrder="0"/>
    </xf>
    <xf borderId="0" fillId="2" fontId="4" numFmtId="0" xfId="0" applyFont="1"/>
    <xf borderId="1" fillId="0" fontId="3" numFmtId="0" xfId="0" applyAlignment="1" applyBorder="1" applyFont="1">
      <alignment horizontal="center" readingOrder="0" vertical="top"/>
    </xf>
    <xf borderId="0" fillId="0" fontId="6" numFmtId="0" xfId="0" applyFont="1"/>
    <xf borderId="0" fillId="6" fontId="6" numFmtId="0" xfId="0" applyFill="1" applyFont="1"/>
    <xf borderId="0" fillId="4" fontId="7" numFmtId="0" xfId="0" applyFont="1"/>
    <xf borderId="0" fillId="5" fontId="7" numFmtId="0" xfId="0" applyAlignment="1" applyFont="1">
      <alignment readingOrder="0"/>
    </xf>
    <xf borderId="0" fillId="5" fontId="7" numFmtId="0" xfId="0" applyFont="1"/>
    <xf borderId="0" fillId="3" fontId="4" numFmtId="0" xfId="0" applyFont="1"/>
    <xf borderId="0" fillId="3" fontId="2" numFmtId="0" xfId="0" applyFont="1"/>
    <xf borderId="0" fillId="0" fontId="2" numFmtId="0" xfId="0" applyAlignment="1" applyFont="1">
      <alignment readingOrder="0"/>
    </xf>
    <xf borderId="0" fillId="6" fontId="3" numFmtId="0" xfId="0" applyAlignment="1" applyFont="1">
      <alignment horizontal="center" readingOrder="0" vertical="top"/>
    </xf>
    <xf borderId="0" fillId="5" fontId="2" numFmtId="0" xfId="0" applyFont="1"/>
    <xf borderId="0" fillId="7" fontId="6" numFmtId="0" xfId="0" applyAlignment="1" applyFill="1" applyFont="1">
      <alignment readingOrder="0"/>
    </xf>
    <xf borderId="0" fillId="7" fontId="2" numFmtId="0" xfId="0" applyFont="1"/>
    <xf borderId="0" fillId="2" fontId="7" numFmtId="0" xfId="0" applyFont="1"/>
    <xf borderId="0" fillId="2" fontId="7" numFmtId="0" xfId="0" applyAlignment="1" applyFont="1">
      <alignment readingOrder="0"/>
    </xf>
    <xf borderId="0" fillId="6" fontId="7" numFmtId="0" xfId="0" applyFont="1"/>
    <xf borderId="0" fillId="8" fontId="7" numFmtId="0" xfId="0" applyAlignment="1" applyFill="1" applyFont="1">
      <alignment readingOrder="0"/>
    </xf>
    <xf borderId="0" fillId="6" fontId="7" numFmtId="0" xfId="0" applyAlignment="1" applyFont="1">
      <alignment readingOrder="0"/>
    </xf>
    <xf borderId="0" fillId="2" fontId="6" numFmtId="0" xfId="0" applyAlignment="1" applyFont="1">
      <alignment readingOrder="0"/>
    </xf>
    <xf borderId="0" fillId="5" fontId="6" numFmtId="0" xfId="0" applyAlignment="1" applyFont="1">
      <alignment readingOrder="0"/>
    </xf>
    <xf borderId="0" fillId="6" fontId="4" numFmtId="0" xfId="0" applyFont="1"/>
    <xf borderId="0" fillId="6" fontId="4" numFmtId="0" xfId="0" applyAlignment="1" applyFont="1">
      <alignment readingOrder="0"/>
    </xf>
    <xf borderId="0" fillId="9" fontId="8" numFmtId="0" xfId="0" applyAlignment="1" applyFill="1" applyFont="1">
      <alignment readingOrder="0"/>
    </xf>
    <xf borderId="0" fillId="9" fontId="8" numFmtId="0" xfId="0" applyFont="1"/>
    <xf borderId="0" fillId="9" fontId="2" numFmtId="0" xfId="0" applyFont="1"/>
    <xf borderId="0" fillId="8" fontId="2" numFmtId="0" xfId="0" applyFont="1"/>
    <xf borderId="0" fillId="0" fontId="7" numFmtId="0" xfId="0" applyFont="1"/>
    <xf borderId="0" fillId="8" fontId="7" numFmtId="0" xfId="0" applyFont="1"/>
    <xf borderId="0" fillId="10" fontId="9" numFmtId="0" xfId="0" applyFill="1" applyFont="1"/>
    <xf borderId="0" fillId="10" fontId="9" numFmtId="0" xfId="0" applyAlignment="1" applyFont="1">
      <alignment readingOrder="0"/>
    </xf>
    <xf borderId="0" fillId="5" fontId="9" numFmtId="0" xfId="0" applyFont="1"/>
    <xf borderId="0" fillId="5" fontId="9" numFmtId="4" xfId="0" applyAlignment="1" applyFont="1" applyNumberFormat="1">
      <alignment readingOrder="0"/>
    </xf>
    <xf borderId="0" fillId="5" fontId="9" numFmtId="0" xfId="0" applyAlignment="1" applyFont="1">
      <alignment readingOrder="0"/>
    </xf>
    <xf borderId="0" fillId="11" fontId="10" numFmtId="0" xfId="0" applyAlignment="1" applyFill="1" applyFont="1">
      <alignment readingOrder="0"/>
    </xf>
    <xf borderId="0" fillId="11" fontId="10" numFmtId="0" xfId="0" applyFont="1"/>
    <xf borderId="0" fillId="11" fontId="11" numFmtId="0" xfId="0" applyFont="1"/>
    <xf borderId="0" fillId="2" fontId="12" numFmtId="0" xfId="0" applyAlignment="1" applyFont="1">
      <alignment readingOrder="0"/>
    </xf>
    <xf borderId="0" fillId="2" fontId="13" numFmtId="0" xfId="0" applyFont="1"/>
    <xf borderId="0" fillId="0" fontId="13" numFmtId="0" xfId="0" applyFont="1"/>
    <xf borderId="0" fillId="12" fontId="13" numFmtId="0" xfId="0" applyFill="1" applyFont="1"/>
    <xf borderId="0" fillId="12" fontId="12" numFmtId="0" xfId="0" applyAlignment="1" applyFont="1">
      <alignment readingOrder="0"/>
    </xf>
    <xf borderId="0" fillId="13" fontId="12" numFmtId="0" xfId="0" applyAlignment="1" applyFill="1" applyFont="1">
      <alignment readingOrder="0"/>
    </xf>
    <xf borderId="0" fillId="13" fontId="13" numFmtId="0" xfId="0" applyFont="1"/>
    <xf borderId="0" fillId="14" fontId="12" numFmtId="0" xfId="0" applyFill="1" applyFont="1"/>
    <xf borderId="0" fillId="14" fontId="13" numFmtId="0" xfId="0" applyFont="1"/>
    <xf borderId="0" fillId="6" fontId="13" numFmtId="0" xfId="0" applyFont="1"/>
    <xf borderId="0" fillId="6" fontId="12" numFmtId="0" xfId="0" applyAlignment="1" applyFont="1">
      <alignment horizontal="center" readingOrder="0"/>
    </xf>
    <xf borderId="0" fillId="8" fontId="12" numFmtId="0" xfId="0" applyAlignment="1" applyFont="1">
      <alignment horizontal="center" readingOrder="0"/>
    </xf>
    <xf borderId="0" fillId="14" fontId="12" numFmtId="0" xfId="0" applyAlignment="1" applyFont="1">
      <alignment readingOrder="0"/>
    </xf>
    <xf borderId="0" fillId="6" fontId="12" numFmtId="0" xfId="0" applyAlignment="1" applyFont="1">
      <alignment readingOrder="0"/>
    </xf>
    <xf borderId="0" fillId="8" fontId="12" numFmtId="0" xfId="0" applyAlignment="1" applyFont="1">
      <alignment readingOrder="0"/>
    </xf>
    <xf borderId="0" fillId="8" fontId="12" numFmtId="10" xfId="0" applyAlignment="1" applyFont="1" applyNumberFormat="1">
      <alignment readingOrder="0"/>
    </xf>
    <xf borderId="0" fillId="15" fontId="7" numFmtId="0" xfId="0" applyFill="1" applyFont="1"/>
    <xf borderId="0" fillId="15" fontId="13" numFmtId="0" xfId="0" applyFont="1"/>
    <xf borderId="0" fillId="16" fontId="2" numFmtId="0" xfId="0" applyFill="1" applyFont="1"/>
    <xf borderId="0" fillId="16" fontId="12" numFmtId="0" xfId="0" applyAlignment="1" applyFont="1">
      <alignment readingOrder="0"/>
    </xf>
    <xf borderId="0" fillId="16" fontId="13" numFmtId="0" xfId="0" applyFont="1"/>
    <xf borderId="0" fillId="15" fontId="7" numFmtId="0" xfId="0" applyAlignment="1" applyFont="1">
      <alignment readingOrder="0"/>
    </xf>
    <xf borderId="0" fillId="0" fontId="12" numFmtId="0" xfId="0" applyFont="1"/>
    <xf borderId="0" fillId="5" fontId="12" numFmtId="0" xfId="0" applyAlignment="1" applyFont="1">
      <alignment readingOrder="0"/>
    </xf>
    <xf borderId="0" fillId="5" fontId="13" numFmtId="0" xfId="0" applyFont="1"/>
    <xf borderId="0" fillId="5" fontId="12" numFmtId="0" xfId="0" applyFont="1"/>
  </cellXfs>
  <cellStyles count="1">
    <cellStyle xfId="0" name="Normal" builtinId="0"/>
  </cellStyles>
  <dxfs count="5">
    <dxf>
      <font/>
      <fill>
        <patternFill patternType="solid">
          <fgColor rgb="FFFFD966"/>
          <bgColor rgb="FFFFD966"/>
        </patternFill>
      </fill>
      <border/>
    </dxf>
    <dxf>
      <font/>
      <fill>
        <patternFill patternType="solid">
          <fgColor rgb="FFC9DAF8"/>
          <bgColor rgb="FFC9DAF8"/>
        </patternFill>
      </fill>
      <border/>
    </dxf>
    <dxf>
      <font/>
      <fill>
        <patternFill patternType="solid">
          <fgColor rgb="FFFFE599"/>
          <bgColor rgb="FFFFE599"/>
        </patternFill>
      </fill>
      <border/>
    </dxf>
    <dxf>
      <font/>
      <fill>
        <patternFill patternType="solid">
          <fgColor rgb="FFF9CB9C"/>
          <bgColor rgb="FFF9CB9C"/>
        </patternFill>
      </fill>
      <border/>
    </dxf>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22" Type="http://schemas.openxmlformats.org/officeDocument/2006/relationships/pivotCacheDefinition" Target="pivotCache/pivotCacheDefinition3.xml"/><Relationship Id="rId21" Type="http://schemas.openxmlformats.org/officeDocument/2006/relationships/pivotCacheDefinition" Target="pivotCache/pivotCacheDefinition2.xml"/><Relationship Id="rId24" Type="http://schemas.microsoft.com/office/2007/relationships/slicerCache" Target="slicerCaches/slicerCache2.xml"/><Relationship Id="rId23"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schemas.microsoft.com/office/2007/relationships/slicerCache" Target="slicerCaches/slicerCache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Profit vs. Region</a:t>
            </a:r>
          </a:p>
        </c:rich>
      </c:tx>
      <c:overlay val="0"/>
    </c:title>
    <c:plotArea>
      <c:layout/>
      <c:barChart>
        <c:barDir val="col"/>
        <c:ser>
          <c:idx val="0"/>
          <c:order val="0"/>
          <c:tx>
            <c:strRef>
              <c:f>'Pivot Table 1'!$B$1</c:f>
            </c:strRef>
          </c:tx>
          <c:spPr>
            <a:solidFill>
              <a:schemeClr val="accent1"/>
            </a:solidFill>
            <a:ln cmpd="sng">
              <a:solidFill>
                <a:srgbClr val="000000"/>
              </a:solidFill>
            </a:ln>
          </c:spPr>
          <c:cat>
            <c:strRef>
              <c:f>'Pivot Table 1'!$A$2:$A$6</c:f>
            </c:strRef>
          </c:cat>
          <c:val>
            <c:numRef>
              <c:f>'Pivot Table 1'!$B$2:$B$6</c:f>
              <c:numCache/>
            </c:numRef>
          </c:val>
        </c:ser>
        <c:axId val="1517756742"/>
        <c:axId val="1382503892"/>
      </c:barChart>
      <c:catAx>
        <c:axId val="15177567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1382503892"/>
      </c:catAx>
      <c:valAx>
        <c:axId val="13825038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775674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Profit vs. Region</a:t>
            </a:r>
          </a:p>
        </c:rich>
      </c:tx>
      <c:overlay val="0"/>
    </c:title>
    <c:plotArea>
      <c:layout/>
      <c:barChart>
        <c:barDir val="bar"/>
        <c:ser>
          <c:idx val="0"/>
          <c:order val="0"/>
          <c:tx>
            <c:strRef>
              <c:f>'Pivot Table 4'!$B$1</c:f>
            </c:strRef>
          </c:tx>
          <c:spPr>
            <a:solidFill>
              <a:schemeClr val="accent1"/>
            </a:solidFill>
            <a:ln cmpd="sng">
              <a:solidFill>
                <a:srgbClr val="000000"/>
              </a:solidFill>
            </a:ln>
          </c:spPr>
          <c:cat>
            <c:strRef>
              <c:f>'Pivot Table 4'!$A$2:$A$6</c:f>
            </c:strRef>
          </c:cat>
          <c:val>
            <c:numRef>
              <c:f>'Pivot Table 4'!$B$2:$B$6</c:f>
              <c:numCache/>
            </c:numRef>
          </c:val>
        </c:ser>
        <c:axId val="885600031"/>
        <c:axId val="1455876151"/>
      </c:barChart>
      <c:catAx>
        <c:axId val="88560003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1455876151"/>
      </c:catAx>
      <c:valAx>
        <c:axId val="145587615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5600031"/>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Profit vs. Region</a:t>
            </a:r>
          </a:p>
        </c:rich>
      </c:tx>
      <c:overlay val="0"/>
    </c:title>
    <c:plotArea>
      <c:layout/>
      <c:barChart>
        <c:barDir val="bar"/>
        <c:ser>
          <c:idx val="0"/>
          <c:order val="0"/>
          <c:tx>
            <c:strRef>
              <c:f>'Pivot Table 4'!$B$1</c:f>
            </c:strRef>
          </c:tx>
          <c:spPr>
            <a:solidFill>
              <a:schemeClr val="accent1"/>
            </a:solidFill>
            <a:ln cmpd="sng">
              <a:solidFill>
                <a:srgbClr val="000000"/>
              </a:solidFill>
            </a:ln>
          </c:spPr>
          <c:cat>
            <c:strRef>
              <c:f>'Pivot Table 4'!$A$2:$A$6</c:f>
            </c:strRef>
          </c:cat>
          <c:val>
            <c:numRef>
              <c:f>'Pivot Table 4'!$B$2:$B$6</c:f>
              <c:numCache/>
            </c:numRef>
          </c:val>
        </c:ser>
        <c:axId val="1204244870"/>
        <c:axId val="2093183596"/>
      </c:barChart>
      <c:catAx>
        <c:axId val="120424487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2093183596"/>
      </c:catAx>
      <c:valAx>
        <c:axId val="209318359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424487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image" Target="../media/Chart3.png"/></Relationships>
</file>

<file path=xl/drawings/_rels/drawing14.xml.rels><?xml version="1.0" encoding="UTF-8" standalone="yes"?><Relationships xmlns="http://schemas.openxmlformats.org/package/2006/relationships"><Relationship Id="rId1" Type="http://schemas.openxmlformats.org/officeDocument/2006/relationships/image" Target="../media/Chart4.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Chart6.png"/><Relationship Id="rId3" Type="http://schemas.openxmlformats.org/officeDocument/2006/relationships/image" Target="../media/Chart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266700</xdr:colOff>
      <xdr:row>5</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781050</xdr:colOff>
      <xdr:row>0</xdr:row>
      <xdr:rowOff>180975</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85725</xdr:colOff>
      <xdr:row>1</xdr:row>
      <xdr:rowOff>161925</xdr:rowOff>
    </xdr:from>
    <xdr:ext cx="2857500" cy="2857500"/>
    <mc:AlternateContent>
      <mc:Choice Requires="sle15">
        <xdr:graphicFrame>
          <xdr:nvGraphicFramePr>
            <xdr:cNvPr id="2" name="Region_2"/>
            <xdr:cNvGraphicFramePr/>
          </xdr:nvGraphicFramePr>
          <xdr:xfrm>
            <a:off x="0" y="0"/>
            <a:ext cx="0" cy="0"/>
          </xdr:xfrm>
          <a:graphic>
            <a:graphicData uri="http://schemas.microsoft.com/office/drawing/2010/slicer">
              <x3Unk:slicer name="Reg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85725</xdr:colOff>
      <xdr:row>4</xdr:row>
      <xdr:rowOff>76200</xdr:rowOff>
    </xdr:from>
    <xdr:ext cx="2857500" cy="2857500"/>
    <mc:AlternateContent>
      <mc:Choice Requires="sle15">
        <xdr:graphicFrame>
          <xdr:nvGraphicFramePr>
            <xdr:cNvPr id="3" name="Category_3"/>
            <xdr:cNvGraphicFramePr/>
          </xdr:nvGraphicFramePr>
          <xdr:xfrm>
            <a:off x="0" y="0"/>
            <a:ext cx="0" cy="0"/>
          </xdr:xfrm>
          <a:graphic>
            <a:graphicData uri="http://schemas.microsoft.com/office/drawing/2010/slicer">
              <x3Unk:slicer name="Category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xdr:colOff>
      <xdr:row>4</xdr:row>
      <xdr:rowOff>152400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781050</xdr:colOff>
      <xdr:row>4</xdr:row>
      <xdr:rowOff>47625</xdr:rowOff>
    </xdr:from>
    <xdr:ext cx="5715000" cy="3533775"/>
    <xdr:pic>
      <xdr:nvPicPr>
        <xdr:cNvPr id="1546918065"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561975</xdr:colOff>
      <xdr:row>3</xdr:row>
      <xdr:rowOff>57150</xdr:rowOff>
    </xdr:from>
    <xdr:ext cx="5715000" cy="3533775"/>
    <xdr:pic>
      <xdr:nvPicPr>
        <xdr:cNvPr id="1187668289"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552450</xdr:colOff>
      <xdr:row>11</xdr:row>
      <xdr:rowOff>38100</xdr:rowOff>
    </xdr:from>
    <xdr:ext cx="4914900" cy="28194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38100</xdr:colOff>
      <xdr:row>11</xdr:row>
      <xdr:rowOff>38100</xdr:rowOff>
    </xdr:from>
    <xdr:ext cx="4314825" cy="2819400"/>
    <xdr:pic>
      <xdr:nvPicPr>
        <xdr:cNvPr id="590339929" name="Chart6"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28575</xdr:colOff>
      <xdr:row>11</xdr:row>
      <xdr:rowOff>38100</xdr:rowOff>
    </xdr:from>
    <xdr:ext cx="5324475" cy="2819400"/>
    <xdr:pic>
      <xdr:nvPicPr>
        <xdr:cNvPr id="1337200817" name="Chart7"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L355" sheet="Q6"/>
  </cacheSource>
  <cacheFields>
    <cacheField name="Answer" numFmtId="0">
      <sharedItems containsString="0" containsBlank="1">
        <m/>
      </sharedItems>
    </cacheField>
    <cacheField name="Order ID" numFmtId="0">
      <sharedItems>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haredItems>
    </cacheField>
    <cacheField name="Region" numFmtId="0">
      <sharedItems containsBlank="1">
        <s v="East"/>
        <s v="West"/>
        <s v="North"/>
        <m/>
        <s v="South"/>
      </sharedItems>
    </cacheField>
    <cacheField name="Country" numFmtId="0">
      <sharedItems>
        <s v="Germany"/>
        <s v="India"/>
        <s v="USA"/>
        <s v="UK"/>
        <s v="Australia"/>
      </sharedItems>
    </cacheField>
    <cacheField name="Category" numFmtId="0">
      <sharedItems containsBlank="1">
        <s v="Beverages"/>
        <s v="Food"/>
        <s v="Clothing"/>
        <s v="Furniture"/>
        <s v="Electronics"/>
        <m/>
      </sharedItems>
    </cacheField>
    <cacheField name="Sales Channel" numFmtId="0">
      <sharedItems>
        <s v="Online"/>
        <s v="Offline"/>
      </sharedItems>
    </cacheField>
    <cacheField name="Order Priority" numFmtId="0">
      <sharedItems>
        <s v="High"/>
        <s v="Low"/>
        <s v="Medium"/>
      </sharedItems>
    </cacheField>
    <cacheField name="Order Date" numFmtId="164">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1T00:00:00Z"/>
        <d v="2023-03-22T00:00:00Z"/>
        <d v="2023-03-23T00:00:00Z"/>
        <d v="2023-03-24T00:00:00Z"/>
        <d v="2023-03-25T00:00:00Z"/>
        <d v="2023-03-26T00:00:00Z"/>
        <d v="2023-03-27T00:00:00Z"/>
        <d v="2023-03-28T00:00:00Z"/>
        <d v="2023-03-29T00:00:00Z"/>
        <d v="2023-03-30T00:00:00Z"/>
        <d v="2023-03-31T00:00:00Z"/>
        <d v="2023-04-01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5-29T00:00:00Z"/>
        <d v="2023-05-30T00:00:00Z"/>
        <d v="2023-05-31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7-29T00:00:00Z"/>
        <d v="2023-07-30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8-29T00:00:00Z"/>
        <d v="2023-08-30T00:00:00Z"/>
        <d v="2023-08-31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09-29T00:00:00Z"/>
        <d v="2023-09-30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0-29T00:00:00Z"/>
        <d v="2023-10-30T00:00:00Z"/>
        <d v="2023-10-31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sharedItems>
    </cacheField>
    <cacheField name="Units Sold" numFmtId="0">
      <sharedItems containsString="0" containsBlank="1" containsNumber="1" containsInteger="1">
        <n v="235.0"/>
        <n v="341.0"/>
        <n v="179.0"/>
        <n v="18.0"/>
        <n v="472.0"/>
        <n v="49.0"/>
        <n v="34.0"/>
        <n v="270.0"/>
        <n v="404.0"/>
        <n v="452.0"/>
        <n v="481.0"/>
        <n v="133.0"/>
        <n v="47.0"/>
        <n v="337.0"/>
        <n v="260.0"/>
        <n v="398.0"/>
        <n v="185.0"/>
        <n v="99.0"/>
        <n v="411.0"/>
        <n v="463.0"/>
        <n v="46.0"/>
        <n v="325.0"/>
        <n v="470.0"/>
        <n v="293.0"/>
        <n v="462.0"/>
        <n v="90.0"/>
        <n v="123.0"/>
        <n v="310.0"/>
        <n v="233.0"/>
        <n v="327.0"/>
        <n v="358.0"/>
        <n v="124.0"/>
        <n v="195.0"/>
        <m/>
        <n v="65.0"/>
        <n v="363.0"/>
        <n v="356.0"/>
        <n v="246.0"/>
        <n v="298.0"/>
        <n v="271.0"/>
        <n v="225.0"/>
        <n v="156.0"/>
        <n v="345.0"/>
        <n v="177.0"/>
        <n v="101.0"/>
        <n v="362.0"/>
        <n v="68.0"/>
        <n v="313.0"/>
        <n v="178.0"/>
        <n v="278.0"/>
        <n v="372.0"/>
        <n v="54.0"/>
        <n v="354.0"/>
        <n v="190.0"/>
        <n v="365.0"/>
        <n v="200.0"/>
        <n v="164.0"/>
        <n v="431.0"/>
        <n v="197.0"/>
        <n v="16.0"/>
        <n v="142.0"/>
        <n v="244.0"/>
        <n v="323.0"/>
        <n v="258.0"/>
        <n v="40.0"/>
        <n v="32.0"/>
        <n v="435.0"/>
        <n v="403.0"/>
        <n v="169.0"/>
        <n v="446.0"/>
        <n v="167.0"/>
        <n v="48.0"/>
        <n v="424.0"/>
        <n v="91.0"/>
        <n v="267.0"/>
        <n v="215.0"/>
        <n v="86.0"/>
        <n v="486.0"/>
        <n v="21.0"/>
        <n v="304.0"/>
        <n v="459.0"/>
        <n v="22.0"/>
        <n v="55.0"/>
        <n v="122.0"/>
        <n v="242.0"/>
        <n v="26.0"/>
        <n v="369.0"/>
        <n v="232.0"/>
        <n v="457.0"/>
        <n v="353.0"/>
        <n v="374.0"/>
        <n v="172.0"/>
        <n v="335.0"/>
        <n v="476.0"/>
        <n v="423.0"/>
        <n v="464.0"/>
        <n v="83.0"/>
        <n v="491.0"/>
        <n v="328.0"/>
        <n v="421.0"/>
        <n v="69.0"/>
        <n v="344.0"/>
        <n v="231.0"/>
        <n v="287.0"/>
        <n v="205.0"/>
        <n v="413.0"/>
        <n v="361.0"/>
        <n v="493.0"/>
        <n v="251.0"/>
        <n v="228.0"/>
        <n v="201.0"/>
        <n v="415.0"/>
        <n v="410.0"/>
        <n v="383.0"/>
        <n v="202.0"/>
        <n v="31.0"/>
        <n v="483.0"/>
        <n v="129.0"/>
        <n v="219.0"/>
        <n v="315.0"/>
        <n v="279.0"/>
        <n v="184.0"/>
        <n v="294.0"/>
        <n v="213.0"/>
        <n v="173.0"/>
        <n v="236.0"/>
        <n v="445.0"/>
        <n v="390.0"/>
        <n v="469.0"/>
        <n v="38.0"/>
        <n v="42.0"/>
        <n v="143.0"/>
        <n v="376.0"/>
        <n v="88.0"/>
        <n v="425.0"/>
        <n v="444.0"/>
        <n v="468.0"/>
        <n v="67.0"/>
        <n v="480.0"/>
        <n v="35.0"/>
        <n v="439.0"/>
        <n v="13.0"/>
        <n v="474.0"/>
        <n v="108.0"/>
        <n v="406.0"/>
        <n v="498.0"/>
        <n v="280.0"/>
        <n v="384.0"/>
        <n v="166.0"/>
        <n v="84.0"/>
        <n v="381.0"/>
        <n v="297.0"/>
        <n v="139.0"/>
        <n v="471.0"/>
        <n v="93.0"/>
        <n v="36.0"/>
        <n v="204.0"/>
        <n v="346.0"/>
        <n v="391.0"/>
        <n v="245.0"/>
        <n v="449.0"/>
        <n v="30.0"/>
        <n v="312.0"/>
        <n v="473.0"/>
        <n v="366.0"/>
        <n v="450.0"/>
        <n v="396.0"/>
        <n v="266.0"/>
        <n v="389.0"/>
        <n v="24.0"/>
        <n v="171.0"/>
        <n v="454.0"/>
        <n v="329.0"/>
        <n v="290.0"/>
        <n v="289.0"/>
        <n v="283.0"/>
        <n v="217.0"/>
        <n v="482.0"/>
        <n v="154.0"/>
        <n v="102.0"/>
        <n v="318.0"/>
        <n v="17.0"/>
        <n v="183.0"/>
        <n v="59.0"/>
        <n v="208.0"/>
        <n v="437.0"/>
        <n v="33.0"/>
        <n v="387.0"/>
        <n v="162.0"/>
        <n v="282.0"/>
        <n v="349.0"/>
        <n v="237.0"/>
        <n v="175.0"/>
        <n v="441.0"/>
        <n v="453.0"/>
        <n v="223.0"/>
        <n v="126.0"/>
        <n v="395.0"/>
        <n v="81.0"/>
        <n v="73.0"/>
        <n v="214.0"/>
        <n v="218.0"/>
        <n v="286.0"/>
        <n v="487.0"/>
        <n v="347.0"/>
        <n v="375.0"/>
        <n v="104.0"/>
        <n v="41.0"/>
        <n v="20.0"/>
        <n v="226.0"/>
        <n v="111.0"/>
        <n v="434.0"/>
        <n v="401.0"/>
        <n v="276.0"/>
        <n v="188.0"/>
        <n v="97.0"/>
        <n v="50.0"/>
        <n v="85.0"/>
        <n v="386.0"/>
        <n v="89.0"/>
        <n v="319.0"/>
        <n v="95.0"/>
        <n v="157.0"/>
        <n v="170.0"/>
        <n v="211.0"/>
        <n v="433.0"/>
        <n v="11.0"/>
        <n v="234.0"/>
        <n v="426.0"/>
        <n v="125.0"/>
        <n v="163.0"/>
        <n v="112.0"/>
        <n v="203.0"/>
        <n v="368.0"/>
        <n v="131.0"/>
        <n v="152.0"/>
        <n v="115.0"/>
        <n v="314.0"/>
        <n v="326.0"/>
        <n v="460.0"/>
        <n v="132.0"/>
        <n v="399.0"/>
        <n v="82.0"/>
      </sharedItems>
    </cacheField>
    <cacheField name="Unit Price" numFmtId="0">
      <sharedItems containsString="0" containsBlank="1" containsNumber="1">
        <n v="152.92"/>
        <n v="467.92"/>
        <n v="473.94"/>
        <n v="314.53"/>
        <n v="392.79"/>
        <n v="308.07"/>
        <n v="244.78"/>
        <n v="332.11"/>
        <n v="278.74"/>
        <n v="300.75"/>
        <n v="393.0"/>
        <n v="243.05"/>
        <n v="25.17"/>
        <n v="86.18"/>
        <n v="222.11"/>
        <n v="363.79"/>
        <n v="298.67"/>
        <n v="326.9"/>
        <n v="242.24"/>
        <n v="309.79"/>
        <n v="167.86"/>
        <n v="237.74"/>
        <n v="373.42"/>
        <n v="436.56"/>
        <n v="219.66"/>
        <n v="26.61"/>
        <n v="85.03"/>
        <m/>
        <n v="328.37"/>
        <n v="169.5"/>
        <n v="273.53"/>
        <n v="249.17"/>
        <n v="45.36"/>
        <n v="204.61"/>
        <n v="114.18"/>
        <n v="212.11"/>
        <n v="421.02"/>
        <n v="91.23"/>
        <n v="480.59"/>
        <n v="210.87"/>
        <n v="423.89"/>
        <n v="316.24"/>
        <n v="369.0"/>
        <n v="254.9"/>
        <n v="273.93"/>
        <n v="259.43"/>
        <n v="296.09"/>
        <n v="19.55"/>
        <n v="200.78"/>
        <n v="305.06"/>
        <n v="300.87"/>
        <n v="397.51"/>
        <n v="329.23"/>
        <n v="496.11"/>
        <n v="145.51"/>
        <n v="182.78"/>
        <n v="195.0"/>
        <n v="235.58"/>
        <n v="418.82"/>
        <n v="121.72"/>
        <n v="389.12"/>
        <n v="205.63"/>
        <n v="302.92"/>
        <n v="318.11"/>
        <n v="189.56"/>
        <n v="258.74"/>
        <n v="209.45"/>
        <n v="39.22"/>
        <n v="221.4"/>
        <n v="53.21"/>
        <n v="205.49"/>
        <n v="298.49"/>
        <n v="291.81"/>
        <n v="333.0"/>
        <n v="52.15"/>
        <n v="327.8"/>
        <n v="159.51"/>
        <n v="429.7"/>
        <n v="9.47"/>
        <n v="296.26"/>
        <n v="301.36"/>
        <n v="201.35"/>
        <n v="122.33"/>
        <n v="121.16"/>
        <n v="442.44"/>
        <n v="223.8"/>
        <n v="168.79"/>
        <n v="227.14"/>
        <n v="77.15"/>
        <n v="227.47"/>
        <n v="296.0"/>
        <n v="474.55"/>
        <n v="130.0"/>
        <n v="182.83"/>
        <n v="192.78"/>
        <n v="304.74"/>
        <n v="181.58"/>
        <n v="269.09"/>
        <n v="391.99"/>
        <n v="354.17"/>
        <n v="225.95"/>
        <n v="432.79"/>
        <n v="281.28"/>
        <n v="272.25"/>
        <n v="21.92"/>
        <n v="493.41"/>
        <n v="65.87"/>
        <n v="119.41"/>
        <n v="30.59"/>
        <n v="321.8"/>
        <n v="116.23"/>
        <n v="94.11"/>
        <n v="48.84"/>
        <n v="56.14"/>
        <n v="294.41"/>
        <n v="345.66"/>
        <n v="201.7"/>
        <n v="242.55"/>
        <n v="344.55"/>
        <n v="13.6"/>
        <n v="164.95"/>
        <n v="486.68"/>
        <n v="292.16"/>
        <n v="130.84"/>
        <n v="263.26"/>
        <n v="174.61"/>
        <n v="268.46"/>
        <n v="67.24"/>
        <n v="70.69"/>
        <n v="76.05"/>
        <n v="470.21"/>
        <n v="367.78"/>
        <n v="85.38"/>
        <n v="98.23"/>
        <n v="366.76"/>
        <n v="82.3"/>
        <n v="121.11"/>
        <n v="481.86"/>
        <n v="131.38"/>
        <n v="332.51"/>
        <n v="489.42"/>
        <n v="190.28"/>
        <n v="13.67"/>
        <n v="125.85"/>
        <n v="416.28"/>
        <n v="432.98"/>
        <n v="385.42"/>
        <n v="60.99"/>
        <n v="398.78"/>
        <n v="459.75"/>
        <n v="302.3"/>
        <n v="470.73"/>
        <n v="335.15"/>
        <n v="290.71"/>
        <n v="177.54"/>
        <n v="83.85"/>
        <n v="304.45"/>
        <n v="162.47"/>
        <n v="433.89"/>
        <n v="496.7"/>
        <n v="377.45"/>
        <n v="49.79"/>
        <n v="147.9"/>
        <n v="59.01"/>
        <n v="327.0"/>
        <n v="383.77"/>
        <n v="463.21"/>
        <n v="221.9"/>
        <n v="451.18"/>
        <n v="439.56"/>
        <n v="162.01"/>
        <n v="435.11"/>
        <n v="190.96"/>
        <n v="151.95"/>
        <n v="326.29"/>
        <n v="167.55"/>
        <n v="316.95"/>
        <n v="306.87"/>
        <n v="283.9"/>
        <n v="193.31"/>
        <n v="276.51"/>
        <n v="300.26"/>
        <n v="275.12"/>
        <n v="224.99"/>
        <n v="12.26"/>
        <n v="295.6"/>
        <n v="88.38"/>
        <n v="323.08"/>
        <n v="380.88"/>
        <n v="252.72"/>
        <n v="273.47"/>
        <n v="475.98"/>
        <n v="424.35"/>
        <n v="457.55"/>
        <n v="407.81"/>
        <n v="58.91"/>
        <n v="78.75"/>
        <n v="265.68"/>
        <n v="126.8"/>
        <n v="240.96"/>
        <n v="200.21"/>
        <n v="276.96"/>
        <n v="374.7"/>
        <n v="359.17"/>
        <n v="263.01"/>
        <n v="412.08"/>
        <n v="218.28"/>
        <n v="448.87"/>
        <n v="40.28"/>
        <n v="477.56"/>
        <n v="329.07"/>
        <n v="193.14"/>
        <n v="102.59"/>
        <n v="242.2"/>
        <n v="101.31"/>
        <n v="87.33"/>
        <n v="310.59"/>
        <n v="263.93"/>
        <n v="336.7"/>
        <n v="465.15"/>
        <n v="268.47"/>
        <n v="292.56"/>
        <n v="49.37"/>
        <n v="360.23"/>
        <n v="202.95"/>
        <n v="488.48"/>
        <n v="412.47"/>
        <n v="263.63"/>
        <n v="66.0"/>
        <n v="430.41"/>
        <n v="400.89"/>
        <n v="96.37"/>
        <n v="151.16"/>
        <n v="397.74"/>
        <n v="96.69"/>
        <n v="459.29"/>
        <n v="215.14"/>
        <n v="48.08"/>
        <n v="408.8"/>
        <n v="189.89"/>
        <n v="265.62"/>
        <n v="60.59"/>
        <n v="6.28"/>
        <n v="320.8"/>
        <n v="260.01"/>
        <n v="298.8"/>
        <n v="397.9"/>
        <n v="325.07"/>
        <n v="91.51"/>
        <n v="183.58"/>
        <n v="453.42"/>
        <n v="280.54"/>
        <n v="131.54"/>
        <n v="154.52"/>
        <n v="426.33"/>
        <n v="337.36"/>
        <n v="405.72"/>
        <n v="384.49"/>
        <n v="79.1"/>
        <n v="214.85"/>
        <n v="80.73"/>
        <n v="121.44"/>
        <n v="435.28"/>
        <n v="239.08"/>
        <n v="270.0"/>
        <n v="93.33"/>
        <n v="159.57"/>
        <n v="118.97"/>
        <n v="107.06"/>
        <n v="320.79"/>
        <n v="132.16"/>
        <n v="317.85"/>
        <n v="33.94"/>
        <n v="75.18"/>
        <n v="140.9"/>
        <n v="300.54"/>
        <n v="339.54"/>
        <n v="224.14"/>
        <n v="225.67"/>
        <n v="363.64"/>
        <n v="173.84"/>
        <n v="410.26"/>
        <n v="303.59"/>
        <n v="171.93"/>
        <n v="453.23"/>
        <n v="387.45"/>
        <n v="136.12"/>
        <n v="324.42"/>
        <n v="299.9"/>
        <n v="203.59"/>
        <n v="186.64"/>
        <n v="175.06"/>
        <n v="310.49"/>
        <n v="223.99"/>
        <n v="416.77"/>
        <n v="336.45"/>
        <n v="39.62"/>
        <n v="321.88"/>
        <n v="139.22"/>
        <n v="341.67"/>
        <n v="119.26"/>
        <n v="231.15"/>
        <n v="99.21"/>
        <n v="30.91"/>
        <n v="192.35"/>
        <n v="184.66"/>
        <n v="497.76"/>
        <n v="225.94"/>
        <n v="170.12"/>
        <n v="292.34"/>
        <n v="48.94"/>
        <n v="481.02"/>
        <n v="319.31"/>
        <n v="378.64"/>
        <n v="89.39"/>
        <n v="207.69"/>
        <n v="214.23"/>
        <n v="411.79"/>
        <n v="5.61"/>
        <n v="153.92"/>
        <n v="490.71"/>
        <n v="240.07"/>
        <n v="194.35"/>
        <n v="64.32"/>
        <n v="487.21"/>
        <n v="14.91"/>
        <n v="369.9"/>
        <n v="385.46"/>
        <n v="125.61"/>
        <n v="337.42"/>
        <n v="51.0"/>
        <n v="132.24"/>
        <n v="395.01"/>
        <n v="433.02"/>
        <n v="306.2"/>
        <n v="255.89"/>
        <n v="83.86"/>
        <n v="36.24"/>
        <n v="63.24"/>
        <n v="117.54"/>
        <n v="174.13"/>
      </sharedItems>
    </cacheField>
    <cacheField name="Unit Cost" numFmtId="0">
      <sharedItems containsSemiMixedTypes="0" containsString="0" containsNumber="1">
        <n v="153.6"/>
        <n v="139.84"/>
        <n v="97.14"/>
        <n v="204.87"/>
        <n v="330.46"/>
        <n v="113.32"/>
        <n v="377.07"/>
        <n v="349.59"/>
        <n v="66.38"/>
        <n v="314.94"/>
        <n v="230.69"/>
        <n v="227.5"/>
        <n v="157.64"/>
        <n v="201.46"/>
        <n v="160.08"/>
        <n v="216.81"/>
        <n v="251.92"/>
        <n v="270.37"/>
        <n v="213.93"/>
        <n v="289.13"/>
        <n v="58.23"/>
        <n v="86.37"/>
        <n v="327.86"/>
        <n v="130.37"/>
        <n v="11.11"/>
        <n v="63.21"/>
        <n v="91.0"/>
        <n v="383.01"/>
        <n v="230.07"/>
        <n v="373.23"/>
        <n v="230.92"/>
        <n v="192.78"/>
        <n v="126.86"/>
        <n v="243.34"/>
        <n v="57.4"/>
        <n v="359.51"/>
        <n v="332.07"/>
        <n v="128.38"/>
        <n v="381.21"/>
        <n v="330.43"/>
        <n v="267.19"/>
        <n v="50.46"/>
        <n v="192.34"/>
        <n v="203.43"/>
        <n v="94.56"/>
        <n v="33.83"/>
        <n v="311.14"/>
        <n v="50.57"/>
        <n v="238.53"/>
        <n v="374.71"/>
        <n v="350.69"/>
        <n v="112.55"/>
        <n v="340.88"/>
        <n v="2.13"/>
        <n v="9.04"/>
        <n v="241.82"/>
        <n v="147.19"/>
        <n v="155.81"/>
        <n v="226.65"/>
        <n v="78.33"/>
        <n v="86.28"/>
        <n v="194.87"/>
        <n v="302.19"/>
        <n v="248.56"/>
        <n v="120.35"/>
        <n v="173.27"/>
        <n v="69.92"/>
        <n v="31.7"/>
        <n v="313.51"/>
        <n v="107.62"/>
        <n v="72.75"/>
        <n v="277.26"/>
        <n v="247.98"/>
        <n v="254.01"/>
        <n v="93.1"/>
        <n v="94.59"/>
        <n v="89.88"/>
        <n v="71.15"/>
        <n v="262.98"/>
        <n v="339.51"/>
        <n v="290.28"/>
        <n v="317.25"/>
        <n v="163.11"/>
        <n v="262.32"/>
        <n v="142.99"/>
        <n v="211.15"/>
        <n v="193.69"/>
        <n v="72.4"/>
        <n v="156.06"/>
        <n v="385.6"/>
        <n v="100.93"/>
        <n v="55.25"/>
        <n v="168.6"/>
        <n v="316.55"/>
        <n v="233.69"/>
        <n v="273.03"/>
        <n v="77.5"/>
        <n v="248.34"/>
        <n v="130.75"/>
        <n v="334.05"/>
        <n v="252.46"/>
        <n v="81.14"/>
        <n v="27.72"/>
        <n v="18.97"/>
        <n v="149.82"/>
        <n v="107.81"/>
        <n v="259.14"/>
        <n v="200.73"/>
        <n v="107.88"/>
        <n v="61.4"/>
        <n v="52.63"/>
        <n v="346.13"/>
        <n v="98.9"/>
        <n v="261.38"/>
        <n v="324.65"/>
        <n v="246.4"/>
        <n v="344.11"/>
        <n v="158.17"/>
        <n v="382.58"/>
        <n v="54.99"/>
        <n v="42.66"/>
        <n v="264.16"/>
        <n v="377.25"/>
        <n v="323.94"/>
        <n v="32.41"/>
        <n v="113.19"/>
        <n v="372.27"/>
        <n v="102.72"/>
        <n v="312.91"/>
        <n v="330.4"/>
        <n v="199.19"/>
        <n v="155.77"/>
        <n v="181.15"/>
        <n v="92.33"/>
        <n v="355.98"/>
        <n v="181.35"/>
        <n v="353.22"/>
        <n v="44.07"/>
        <n v="395.33"/>
        <n v="178.42"/>
        <n v="21.04"/>
        <n v="17.13"/>
        <n v="298.99"/>
        <n v="264.3"/>
        <n v="321.25"/>
        <n v="43.94"/>
        <n v="16.16"/>
        <n v="204.41"/>
        <n v="156.26"/>
        <n v="185.85"/>
        <n v="396.65"/>
        <n v="388.36"/>
        <n v="377.04"/>
        <n v="313.97"/>
        <n v="143.23"/>
        <n v="166.03"/>
        <n v="220.75"/>
        <n v="332.55"/>
        <n v="29.35"/>
        <n v="170.87"/>
        <n v="34.88"/>
        <n v="206.83"/>
        <n v="359.76"/>
        <n v="313.43"/>
        <n v="92.68"/>
        <n v="390.44"/>
        <n v="267.61"/>
        <n v="6.15"/>
        <n v="103.65"/>
        <n v="105.76"/>
        <n v="29.56"/>
        <n v="384.01"/>
        <n v="192.35"/>
        <n v="358.53"/>
        <n v="130.24"/>
        <n v="51.84"/>
        <n v="190.79"/>
        <n v="47.35"/>
        <n v="195.43"/>
        <n v="368.28"/>
        <n v="209.27"/>
        <n v="247.37"/>
        <n v="64.34"/>
        <n v="19.41"/>
        <n v="46.1"/>
        <n v="240.22"/>
        <n v="39.81"/>
        <n v="151.65"/>
        <n v="220.94"/>
        <n v="156.68"/>
        <n v="67.15"/>
        <n v="110.97"/>
        <n v="371.47"/>
        <n v="271.04"/>
        <n v="199.43"/>
        <n v="7.06"/>
        <n v="396.98"/>
        <n v="269.24"/>
        <n v="128.14"/>
        <n v="351.95"/>
        <n v="104.86"/>
        <n v="218.52"/>
        <n v="255.16"/>
        <n v="89.98"/>
        <n v="391.4"/>
        <n v="299.78"/>
        <n v="224.01"/>
        <n v="73.88"/>
        <n v="23.44"/>
        <n v="129.38"/>
        <n v="301.77"/>
        <n v="109.19"/>
        <n v="216.74"/>
        <n v="291.72"/>
        <n v="44.96"/>
        <n v="274.75"/>
        <n v="38.56"/>
        <n v="386.12"/>
        <n v="196.38"/>
        <n v="61.97"/>
        <n v="138.27"/>
        <n v="166.54"/>
        <n v="303.76"/>
        <n v="297.88"/>
        <n v="245.55"/>
        <n v="44.16"/>
        <n v="62.32"/>
        <n v="39.32"/>
        <n v="231.71"/>
        <n v="351.1"/>
        <n v="174.65"/>
        <n v="66.02"/>
        <n v="224.1"/>
        <n v="325.08"/>
        <n v="297.2"/>
        <n v="352.82"/>
        <n v="112.61"/>
        <n v="79.19"/>
        <n v="352.17"/>
        <n v="263.71"/>
        <n v="125.75"/>
        <n v="297.45"/>
        <n v="326.42"/>
        <n v="246.76"/>
        <n v="275.78"/>
        <n v="151.35"/>
        <n v="216.4"/>
        <n v="210.62"/>
        <n v="339.52"/>
        <n v="336.31"/>
        <n v="333.41"/>
        <n v="6.39"/>
        <n v="300.32"/>
        <n v="303.95"/>
        <n v="271.99"/>
        <n v="302.99"/>
        <n v="337.1"/>
        <n v="189.19"/>
        <n v="201.82"/>
        <n v="51.64"/>
        <n v="155.38"/>
        <n v="258.06"/>
        <n v="312.6"/>
        <n v="88.45"/>
        <n v="56.85"/>
        <n v="265.89"/>
        <n v="2.75"/>
        <n v="72.99"/>
        <n v="13.57"/>
        <n v="68.42"/>
        <n v="74.17"/>
        <n v="156.29"/>
        <n v="162.13"/>
        <n v="349.96"/>
        <n v="205.02"/>
        <n v="289.92"/>
        <n v="43.45"/>
        <n v="91.72"/>
        <n v="281.77"/>
        <n v="23.02"/>
        <n v="195.67"/>
        <n v="240.55"/>
        <n v="241.65"/>
        <n v="11.13"/>
        <n v="130.2"/>
        <n v="255.32"/>
        <n v="61.3"/>
        <n v="278.78"/>
        <n v="298.88"/>
        <n v="392.82"/>
        <n v="85.52"/>
        <n v="209.08"/>
        <n v="150.64"/>
        <n v="50.71"/>
        <n v="294.73"/>
        <n v="95.87"/>
        <n v="149.83"/>
        <n v="26.89"/>
        <n v="320.94"/>
        <n v="307.1"/>
        <n v="293.98"/>
        <n v="121.18"/>
        <n v="71.05"/>
        <n v="255.75"/>
        <n v="199.47"/>
        <n v="72.94"/>
        <n v="274.99"/>
        <n v="396.47"/>
        <n v="299.39"/>
        <n v="296.51"/>
        <n v="380.22"/>
        <n v="82.77"/>
        <n v="227.09"/>
        <n v="391.9"/>
        <n v="67.79"/>
        <n v="280.7"/>
        <n v="235.15"/>
        <n v="235.42"/>
        <n v="279.67"/>
        <n v="371.99"/>
        <n v="313.47"/>
        <n v="24.34"/>
        <n v="341.39"/>
        <n v="91.77"/>
        <n v="152.01"/>
        <n v="185.77"/>
        <n v="193.4"/>
        <n v="175.2"/>
        <n v="375.07"/>
        <n v="283.0"/>
        <n v="253.21"/>
        <n v="21.84"/>
        <n v="361.76"/>
        <n v="363.94"/>
        <n v="312.52"/>
        <n v="4.8"/>
        <n v="24.8"/>
        <n v="91.64"/>
        <n v="54.28"/>
        <n v="160.74"/>
        <n v="369.2"/>
        <n v="189.88"/>
        <n v="7.33"/>
        <n v="114.53"/>
        <n v="19.75"/>
        <n v="16.44"/>
        <n v="111.74"/>
        <n v="111.69"/>
        <n v="315.28"/>
      </sharedItems>
    </cacheField>
    <cacheField name="Profit" numFmtId="0">
      <sharedItems containsSemiMixedTypes="0" containsString="0" containsNumber="1">
        <n v="-159.8000000000029"/>
        <n v="111875.28"/>
        <n v="67447.2"/>
        <n v="1973.8799999999992"/>
        <n v="29419.76000000001"/>
        <n v="9542.75"/>
        <n v="-4497.859999999999"/>
        <n v="-4719.599999999991"/>
        <n v="85793.44"/>
        <n v="-6413.880000000005"/>
        <n v="38142.85"/>
        <n v="7479.550000000003"/>
        <n v="-17618.51"/>
        <n v="-54412.16"/>
        <n v="2915.41"/>
        <n v="49532.26000000001"/>
        <n v="12155.0"/>
        <n v="22498.940000000002"/>
        <n v="5237.3499999999985"/>
        <n v="2045.3400000000038"/>
        <n v="45057.93000000001"/>
        <n v="70084.31"/>
        <n v="2095.7599999999984"/>
        <n v="99511.75"/>
        <n v="38581.75"/>
        <n v="-17202.0"/>
        <n v="-1749.2099999999991"/>
        <n v="-176950.62"/>
        <n v="46201.0"/>
        <n v="-18335.700000000004"/>
        <n v="5241.029999999995"/>
        <n v="2763.1100000000006"/>
        <n v="-25265.0"/>
        <n v="-9024.089999999997"/>
        <n v="18567.06"/>
        <n v="-52769.2"/>
        <n v="-41176.68"/>
        <n v="57064.799999999996"/>
        <n v="0.0"/>
        <n v="9760.399999999998"/>
        <n v="-2759.6799999999985"/>
        <n v="135555.09"/>
        <n v="6071.1"/>
        <n v="58942.92"/>
        <n v="-44443.200000000004"/>
        <n v="54383.22"/>
        <n v="-11088.580000000002"/>
        <n v="56601.06"/>
        <n v="12951.0"/>
        <n v="-55404.95999999999"/>
        <n v="-51718.95"/>
        <n v="34074.270000000004"/>
        <n v="-4041.0099999999984"/>
        <n v="143127.56"/>
        <n v="21772.92"/>
        <n v="17291.720000000005"/>
        <n v="-525.8400000000038"/>
        <n v="4800.66"/>
        <n v="-8798.700000000004"/>
        <n v="58497.000000000015"/>
        <n v="17957.16"/>
        <n v="-25895.1"/>
        <n v="16516.700000000004"/>
        <n v="-7684.470000000001"/>
        <n v="66638.05"/>
        <n v="28968.0"/>
        <n v="19620.96"/>
        <n v="97854.24"/>
        <n v="-20499.820000000007"/>
        <n v="-1094.4"/>
        <n v="21108.3"/>
        <n v="-54668.200000000004"/>
        <n v="-2294.459999999999"/>
        <n v="14367.040000000008"/>
        <n v="51267.17999999999"/>
        <n v="9536.4"/>
        <n v="-1207.36"/>
        <n v="111642.75"/>
        <n v="-41698.41"/>
        <n v="-57377.189999999995"/>
        <n v="51864.240000000005"/>
        <n v="-137269.88"/>
        <n v="22236.049999999996"/>
        <n v="1873.92"/>
        <n v="24744.639999999992"/>
        <n v="-8082.620000000001"/>
        <n v="-26473.450000000004"/>
        <n v="98800.68"/>
        <n v="14564.099999999999"/>
        <n v="-18645.66"/>
        <n v="61338.05999999999"/>
        <n v="-1160.25"/>
        <n v="-27800.8"/>
        <n v="-40887.720000000016"/>
        <n v="14518.230000000003"/>
        <n v="4433.4400000000005"/>
        <n v="2887.5"/>
        <n v="-10743.64"/>
        <n v="7567.66"/>
        <n v="-7093.020000000004"/>
        <n v="-1842.88"/>
        <n v="69353.54999999999"/>
        <n v="84510.64000000001"/>
        <n v="121677.6"/>
        <n v="14997.609999999997"/>
        <n v="148515.86"/>
        <n v="7815.419999999998"/>
        <n v="26748.48000000001"/>
        <n v="-14785.12"/>
        <n v="144723.35"/>
        <n v="6302.240000000002"/>
        <n v="-95902.56"/>
        <n v="-31695.840000000004"/>
        <n v="5014.860000000001"/>
        <n v="-50437.639999999985"/>
        <n v="-35483.57000000001"/>
        <n v="-144977.57"/>
        <n v="-33465.84"/>
        <n v="-37119.56999999998"/>
        <n v="20056.23"/>
        <n v="54709.76"/>
        <n v="-4991.9100000000035"/>
        <n v="-1504.199999999999"/>
        <n v="-150825.24"/>
        <n v="38038.979999999996"/>
        <n v="76565.45"/>
        <n v="-33085.429999999964"/>
        <n v="10151.32"/>
        <n v="-24477.45000000001"/>
        <n v="-39103.28999999999"/>
        <n v="-20184.840000000004"/>
        <n v="-22202.460000000003"/>
        <n v="-423.28"/>
        <n v="2398.83"/>
        <n v="77368.44999999998"/>
        <n v="-109814.40000000002"/>
        <n v="21826.480000000003"/>
        <n v="-10942.309999999998"/>
        <n v="-19416.239999999998"/>
        <n v="3102.17"/>
        <n v="224464.59"/>
        <n v="-21621.69"/>
        <n v="14937.989999999998"/>
        <n v="52973.55000000002"/>
        <n v="40828.86"/>
        <n v="-500.4899999999998"/>
        <n v="-14455.040000000005"/>
        <n v="76445.88"/>
        <n v="52638.69000000001"/>
        <n v="-1942.7899999999936"/>
        <n v="-85116.20000000001"/>
        <n v="5130.639999999985"/>
        <n v="64872.09999999998"/>
        <n v="62037.3"/>
        <n v="142904.3"/>
        <n v="-3532.0"/>
        <n v="98.79999999999927"/>
        <n v="105589.44"/>
        <n v="280.1399999999994"/>
        <n v="7002.709999999999"/>
        <n v="36705.119999999995"/>
        <n v="-17361.519999999997"/>
        <n v="51195.5"/>
        <n v="179384.87999999998"/>
        <n v="-6079.320000000007"/>
        <n v="-14593.940000000002"/>
        <n v="68040.0"/>
        <n v="-1562.4"/>
        <n v="108628.84"/>
        <n v="155498.19"/>
        <n v="18612.0"/>
        <n v="8687.699999999997"/>
        <n v="1204.4500000000007"/>
        <n v="146617.68"/>
        <n v="11898.359999999997"/>
        <n v="99193.92000000001"/>
        <n v="71517.78"/>
        <n v="-2087.04"/>
        <n v="-11757.199999999983"/>
        <n v="-16020.480000000003"/>
        <n v="20456.520000000004"/>
        <n v="40259.979999999996"/>
        <n v="22217.16"/>
        <n v="56087.009999999995"/>
        <n v="10778.130000000005"/>
        <n v="36202.55"/>
        <n v="22718.48"/>
        <n v="1907.550000000003"/>
        <n v="-13431.06"/>
        <n v="7081.950000000001"/>
        <n v="-10572.120000000003"/>
        <n v="-1742.0400000000027"/>
        <n v="22407.36"/>
        <n v="18438.339999999997"/>
        <n v="104166.31"/>
        <n v="19355.0"/>
        <n v="69644.39000000001"/>
        <n v="33270.41"/>
        <n v="-1378.5000000000002"/>
        <n v="-43608.240000000005"/>
        <n v="4975.960000000006"/>
        <n v="13476.119999999995"/>
        <n v="-67998.87999999999"/>
        <n v="-9260.009999999995"/>
        <n v="14349.44999999999"/>
        <n v="46927.92"/>
        <n v="151078.5"/>
        <n v="61737.06"/>
        <n v="43682.759999999995"/>
        <n v="29017.940000000002"/>
        <n v="15552.710000000001"/>
        <n v="-97810.16000000002"/>
        <n v="186450.6"/>
        <n v="1303.6800000000003"/>
        <n v="26433.179999999993"/>
        <n v="-128722.62000000001"/>
        <n v="7881.040000000001"/>
        <n v="12942.859999999997"/>
        <n v="-14772.600000000002"/>
        <n v="41630.45"/>
        <n v="-836.4300000000003"/>
        <n v="10986.059999999998"/>
        <n v="61488.0"/>
        <n v="48675.270000000004"/>
        <n v="8288.64"/>
        <n v="8867.880000000003"/>
        <n v="-65037.850000000035"/>
        <n v="151266.06"/>
        <n v="53353.3"/>
        <n v="4032.0599999999977"/>
        <n v="-82387.43999999999"/>
        <n v="2264.5700000000006"/>
        <n v="4230.16"/>
        <n v="-584.6399999999999"/>
        <n v="13170.509999999998"/>
        <n v="2688.6299999999974"/>
        <n v="-34740.15999999999"/>
        <n v="132081.84"/>
        <n v="-29466.979999999996"/>
        <n v="-127201.38"/>
        <n v="70811.48000000001"/>
        <n v="-16319.099999999999"/>
        <n v="3770.9100000000008"/>
        <n v="-50638.25"/>
        <n v="-79079.58"/>
        <n v="-7413.119999999981"/>
        <n v="-31511.90000000001"/>
        <n v="9396.239999999998"/>
        <n v="4009.5"/>
        <n v="-49073.64"/>
        <n v="-19008.149999999994"/>
        <n v="69799.51999999999"/>
        <n v="-95062.20000000001"/>
        <n v="35717.85000000002"/>
        <n v="-17218.600000000002"/>
        <n v="35905.12"/>
        <n v="-36825.06"/>
        <n v="3028.8599999999997"/>
        <n v="4332.999999999993"/>
        <n v="139916.07"/>
        <n v="148420.92"/>
        <n v="-61267.119999999995"/>
        <n v="47298.299999999996"/>
        <n v="975.2400000000016"/>
        <n v="42608.649999999994"/>
        <n v="129501.57999999999"/>
        <n v="13357.71"/>
        <n v="45938.840000000004"/>
        <n v="-5022.4"/>
        <n v="-40743.46000000001"/>
        <n v="-18758.9"/>
        <n v="-14811.66"/>
        <n v="79319.24"/>
        <n v="11444.52"/>
        <n v="17570.96000000002"/>
        <n v="3592.6799999999985"/>
        <n v="-41810.029999999984"/>
        <n v="-37368.75"/>
        <n v="6124.560000000001"/>
        <n v="57471.75"/>
        <n v="3851.54"/>
        <n v="-593.0"/>
        <n v="93725.4"/>
        <n v="-63004.27999999999"/>
        <n v="1935.8400000000038"/>
        <n v="94642.38"/>
        <n v="-63546.46999999999"/>
        <n v="67385.40000000001"/>
        <n v="16057.080000000002"/>
        <n v="2879.9300000000003"/>
        <n v="10201.499999999998"/>
        <n v="22041.59999999999"/>
        <n v="13578.75"/>
        <n v="-56309.67999999999"/>
        <n v="186.45000000000073"/>
        <n v="-11828.309999999998"/>
        <n v="139518.47999999998"/>
        <n v="23620.6"/>
        <n v="-68945.47"/>
        <n v="11628.949999999997"/>
        <n v="6694.28"/>
        <n v="-43173.43"/>
        <n v="-9316.000000000007"/>
        <n v="-38007.42999999999"/>
        <n v="-28300.880000000005"/>
        <n v="-119429.25"/>
        <n v="-13016.86"/>
        <n v="-2279.6399999999994"/>
        <n v="100612.98"/>
        <n v="-15737.260000000002"/>
        <n v="26752.399999999994"/>
        <n v="-97598.79000000001"/>
        <n v="46446.78"/>
        <n v="502.23999999999796"/>
        <n v="44287.5"/>
        <n v="-41076.0"/>
        <n v="48106.80000000001"/>
        <n v="6968.639999999999"/>
        <n v="45882.060000000005"/>
        <n v="-7831.040000000001"/>
        <n v="11448.36"/>
        <n v="-7856.190000000002"/>
        <n v="-7710.6600000000035"/>
        <n v="6456.959999999999"/>
        <n v="61595.94999999998"/>
        <n v="-40138.45"/>
        <n v="22033.919999999984"/>
        <n v="166348.41999999998"/>
        <n v="31654.34"/>
        <n v="90692.82"/>
        <n v="-1535.0400000000009"/>
        <n v="-9291.0"/>
        <n v="11872.600000000006"/>
        <n v="32094.48"/>
        <n v="119249.12999999999"/>
        <n v="2544.4799999999996"/>
        <n v="17373.81"/>
        <n v="1623.6000000000001"/>
        <n v="-17848.0"/>
        <n v="1357.2000000000044"/>
        <n v="-59988.75"/>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L355" sheet="Q7"/>
  </cacheSource>
  <cacheFields>
    <cacheField name="Answer" numFmtId="0">
      <sharedItems containsString="0" containsBlank="1">
        <m/>
      </sharedItems>
    </cacheField>
    <cacheField name="Order ID" numFmtId="0">
      <sharedItems>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haredItems>
    </cacheField>
    <cacheField name="Region" numFmtId="0">
      <sharedItems containsBlank="1">
        <s v="East"/>
        <s v="West"/>
        <s v="North"/>
        <m/>
        <s v="South"/>
      </sharedItems>
    </cacheField>
    <cacheField name="Country" numFmtId="0">
      <sharedItems>
        <s v="Germany"/>
        <s v="India"/>
        <s v="USA"/>
        <s v="UK"/>
        <s v="Australia"/>
      </sharedItems>
    </cacheField>
    <cacheField name="Category" numFmtId="0">
      <sharedItems containsBlank="1">
        <s v="Beverages"/>
        <s v="Food"/>
        <s v="Clothing"/>
        <s v="Furniture"/>
        <s v="Electronics"/>
        <m/>
      </sharedItems>
    </cacheField>
    <cacheField name="Sales Channel" numFmtId="0">
      <sharedItems>
        <s v="Online"/>
        <s v="Offline"/>
      </sharedItems>
    </cacheField>
    <cacheField name="Order Priority" numFmtId="0">
      <sharedItems>
        <s v="High"/>
        <s v="Low"/>
        <s v="Medium"/>
      </sharedItems>
    </cacheField>
    <cacheField name="Order Date" numFmtId="164">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1T00:00:00Z"/>
        <d v="2023-03-22T00:00:00Z"/>
        <d v="2023-03-23T00:00:00Z"/>
        <d v="2023-03-24T00:00:00Z"/>
        <d v="2023-03-25T00:00:00Z"/>
        <d v="2023-03-26T00:00:00Z"/>
        <d v="2023-03-27T00:00:00Z"/>
        <d v="2023-03-28T00:00:00Z"/>
        <d v="2023-03-29T00:00:00Z"/>
        <d v="2023-03-30T00:00:00Z"/>
        <d v="2023-03-31T00:00:00Z"/>
        <d v="2023-04-01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5-29T00:00:00Z"/>
        <d v="2023-05-30T00:00:00Z"/>
        <d v="2023-05-31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7-29T00:00:00Z"/>
        <d v="2023-07-30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8-29T00:00:00Z"/>
        <d v="2023-08-30T00:00:00Z"/>
        <d v="2023-08-31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09-29T00:00:00Z"/>
        <d v="2023-09-30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0-29T00:00:00Z"/>
        <d v="2023-10-30T00:00:00Z"/>
        <d v="2023-10-31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sharedItems>
    </cacheField>
    <cacheField name="Units Sold" numFmtId="0">
      <sharedItems containsString="0" containsBlank="1" containsNumber="1" containsInteger="1">
        <n v="235.0"/>
        <n v="341.0"/>
        <n v="179.0"/>
        <n v="18.0"/>
        <n v="472.0"/>
        <n v="49.0"/>
        <n v="34.0"/>
        <n v="270.0"/>
        <n v="404.0"/>
        <n v="452.0"/>
        <n v="481.0"/>
        <n v="133.0"/>
        <n v="47.0"/>
        <n v="337.0"/>
        <n v="260.0"/>
        <n v="398.0"/>
        <n v="185.0"/>
        <n v="99.0"/>
        <n v="411.0"/>
        <n v="463.0"/>
        <n v="46.0"/>
        <n v="325.0"/>
        <n v="470.0"/>
        <n v="293.0"/>
        <n v="462.0"/>
        <n v="90.0"/>
        <n v="123.0"/>
        <n v="310.0"/>
        <n v="233.0"/>
        <n v="327.0"/>
        <n v="358.0"/>
        <n v="124.0"/>
        <n v="195.0"/>
        <m/>
        <n v="65.0"/>
        <n v="363.0"/>
        <n v="356.0"/>
        <n v="246.0"/>
        <n v="298.0"/>
        <n v="271.0"/>
        <n v="225.0"/>
        <n v="156.0"/>
        <n v="345.0"/>
        <n v="177.0"/>
        <n v="101.0"/>
        <n v="362.0"/>
        <n v="68.0"/>
        <n v="313.0"/>
        <n v="178.0"/>
        <n v="278.0"/>
        <n v="372.0"/>
        <n v="54.0"/>
        <n v="354.0"/>
        <n v="190.0"/>
        <n v="365.0"/>
        <n v="200.0"/>
        <n v="164.0"/>
        <n v="431.0"/>
        <n v="197.0"/>
        <n v="16.0"/>
        <n v="142.0"/>
        <n v="244.0"/>
        <n v="323.0"/>
        <n v="258.0"/>
        <n v="40.0"/>
        <n v="32.0"/>
        <n v="435.0"/>
        <n v="403.0"/>
        <n v="169.0"/>
        <n v="446.0"/>
        <n v="167.0"/>
        <n v="48.0"/>
        <n v="424.0"/>
        <n v="91.0"/>
        <n v="267.0"/>
        <n v="215.0"/>
        <n v="86.0"/>
        <n v="486.0"/>
        <n v="21.0"/>
        <n v="304.0"/>
        <n v="459.0"/>
        <n v="22.0"/>
        <n v="55.0"/>
        <n v="122.0"/>
        <n v="242.0"/>
        <n v="26.0"/>
        <n v="369.0"/>
        <n v="232.0"/>
        <n v="457.0"/>
        <n v="353.0"/>
        <n v="374.0"/>
        <n v="172.0"/>
        <n v="335.0"/>
        <n v="476.0"/>
        <n v="423.0"/>
        <n v="464.0"/>
        <n v="83.0"/>
        <n v="491.0"/>
        <n v="328.0"/>
        <n v="421.0"/>
        <n v="69.0"/>
        <n v="344.0"/>
        <n v="231.0"/>
        <n v="287.0"/>
        <n v="205.0"/>
        <n v="413.0"/>
        <n v="361.0"/>
        <n v="493.0"/>
        <n v="251.0"/>
        <n v="228.0"/>
        <n v="201.0"/>
        <n v="415.0"/>
        <n v="410.0"/>
        <n v="383.0"/>
        <n v="202.0"/>
        <n v="31.0"/>
        <n v="483.0"/>
        <n v="129.0"/>
        <n v="219.0"/>
        <n v="315.0"/>
        <n v="279.0"/>
        <n v="184.0"/>
        <n v="294.0"/>
        <n v="213.0"/>
        <n v="173.0"/>
        <n v="236.0"/>
        <n v="445.0"/>
        <n v="390.0"/>
        <n v="469.0"/>
        <n v="38.0"/>
        <n v="42.0"/>
        <n v="143.0"/>
        <n v="376.0"/>
        <n v="88.0"/>
        <n v="425.0"/>
        <n v="444.0"/>
        <n v="468.0"/>
        <n v="67.0"/>
        <n v="480.0"/>
        <n v="35.0"/>
        <n v="439.0"/>
        <n v="13.0"/>
        <n v="474.0"/>
        <n v="108.0"/>
        <n v="406.0"/>
        <n v="498.0"/>
        <n v="280.0"/>
        <n v="384.0"/>
        <n v="166.0"/>
        <n v="84.0"/>
        <n v="381.0"/>
        <n v="297.0"/>
        <n v="139.0"/>
        <n v="471.0"/>
        <n v="93.0"/>
        <n v="36.0"/>
        <n v="204.0"/>
        <n v="346.0"/>
        <n v="391.0"/>
        <n v="245.0"/>
        <n v="449.0"/>
        <n v="30.0"/>
        <n v="312.0"/>
        <n v="473.0"/>
        <n v="366.0"/>
        <n v="450.0"/>
        <n v="396.0"/>
        <n v="266.0"/>
        <n v="389.0"/>
        <n v="24.0"/>
        <n v="171.0"/>
        <n v="454.0"/>
        <n v="329.0"/>
        <n v="290.0"/>
        <n v="289.0"/>
        <n v="283.0"/>
        <n v="217.0"/>
        <n v="482.0"/>
        <n v="154.0"/>
        <n v="102.0"/>
        <n v="318.0"/>
        <n v="17.0"/>
        <n v="183.0"/>
        <n v="59.0"/>
        <n v="208.0"/>
        <n v="437.0"/>
        <n v="33.0"/>
        <n v="387.0"/>
        <n v="162.0"/>
        <n v="282.0"/>
        <n v="349.0"/>
        <n v="237.0"/>
        <n v="175.0"/>
        <n v="441.0"/>
        <n v="453.0"/>
        <n v="223.0"/>
        <n v="126.0"/>
        <n v="395.0"/>
        <n v="81.0"/>
        <n v="73.0"/>
        <n v="214.0"/>
        <n v="218.0"/>
        <n v="286.0"/>
        <n v="487.0"/>
        <n v="347.0"/>
        <n v="375.0"/>
        <n v="104.0"/>
        <n v="41.0"/>
        <n v="20.0"/>
        <n v="226.0"/>
        <n v="111.0"/>
        <n v="434.0"/>
        <n v="401.0"/>
        <n v="276.0"/>
        <n v="188.0"/>
        <n v="97.0"/>
        <n v="50.0"/>
        <n v="85.0"/>
        <n v="386.0"/>
        <n v="89.0"/>
        <n v="319.0"/>
        <n v="95.0"/>
        <n v="157.0"/>
        <n v="170.0"/>
        <n v="211.0"/>
        <n v="433.0"/>
        <n v="11.0"/>
        <n v="234.0"/>
        <n v="426.0"/>
        <n v="125.0"/>
        <n v="163.0"/>
        <n v="112.0"/>
        <n v="203.0"/>
        <n v="368.0"/>
        <n v="131.0"/>
        <n v="152.0"/>
        <n v="115.0"/>
        <n v="314.0"/>
        <n v="326.0"/>
        <n v="460.0"/>
        <n v="132.0"/>
        <n v="399.0"/>
        <n v="82.0"/>
      </sharedItems>
    </cacheField>
    <cacheField name="Unit Price" numFmtId="0">
      <sharedItems containsString="0" containsBlank="1" containsNumber="1">
        <n v="152.92"/>
        <n v="467.92"/>
        <n v="473.94"/>
        <n v="314.53"/>
        <n v="392.79"/>
        <n v="308.07"/>
        <n v="244.78"/>
        <n v="332.11"/>
        <n v="278.74"/>
        <n v="300.75"/>
        <n v="393.0"/>
        <n v="243.05"/>
        <n v="25.17"/>
        <n v="86.18"/>
        <n v="222.11"/>
        <n v="363.79"/>
        <n v="298.67"/>
        <n v="326.9"/>
        <n v="242.24"/>
        <n v="309.79"/>
        <n v="167.86"/>
        <n v="237.74"/>
        <n v="373.42"/>
        <n v="436.56"/>
        <n v="219.66"/>
        <n v="26.61"/>
        <n v="85.03"/>
        <m/>
        <n v="328.37"/>
        <n v="169.5"/>
        <n v="273.53"/>
        <n v="249.17"/>
        <n v="45.36"/>
        <n v="204.61"/>
        <n v="114.18"/>
        <n v="212.11"/>
        <n v="421.02"/>
        <n v="91.23"/>
        <n v="480.59"/>
        <n v="210.87"/>
        <n v="423.89"/>
        <n v="316.24"/>
        <n v="369.0"/>
        <n v="254.9"/>
        <n v="273.93"/>
        <n v="259.43"/>
        <n v="296.09"/>
        <n v="19.55"/>
        <n v="200.78"/>
        <n v="305.06"/>
        <n v="300.87"/>
        <n v="397.51"/>
        <n v="329.23"/>
        <n v="496.11"/>
        <n v="145.51"/>
        <n v="182.78"/>
        <n v="195.0"/>
        <n v="235.58"/>
        <n v="418.82"/>
        <n v="121.72"/>
        <n v="389.12"/>
        <n v="205.63"/>
        <n v="302.92"/>
        <n v="318.11"/>
        <n v="189.56"/>
        <n v="258.74"/>
        <n v="209.45"/>
        <n v="39.22"/>
        <n v="221.4"/>
        <n v="53.21"/>
        <n v="205.49"/>
        <n v="298.49"/>
        <n v="291.81"/>
        <n v="333.0"/>
        <n v="52.15"/>
        <n v="327.8"/>
        <n v="159.51"/>
        <n v="429.7"/>
        <n v="9.47"/>
        <n v="296.26"/>
        <n v="301.36"/>
        <n v="201.35"/>
        <n v="122.33"/>
        <n v="121.16"/>
        <n v="442.44"/>
        <n v="223.8"/>
        <n v="168.79"/>
        <n v="227.14"/>
        <n v="77.15"/>
        <n v="227.47"/>
        <n v="296.0"/>
        <n v="474.55"/>
        <n v="130.0"/>
        <n v="182.83"/>
        <n v="192.78"/>
        <n v="304.74"/>
        <n v="181.58"/>
        <n v="269.09"/>
        <n v="391.99"/>
        <n v="354.17"/>
        <n v="225.95"/>
        <n v="432.79"/>
        <n v="281.28"/>
        <n v="272.25"/>
        <n v="21.92"/>
        <n v="493.41"/>
        <n v="65.87"/>
        <n v="119.41"/>
        <n v="30.59"/>
        <n v="321.8"/>
        <n v="116.23"/>
        <n v="94.11"/>
        <n v="48.84"/>
        <n v="56.14"/>
        <n v="294.41"/>
        <n v="345.66"/>
        <n v="201.7"/>
        <n v="242.55"/>
        <n v="344.55"/>
        <n v="13.6"/>
        <n v="164.95"/>
        <n v="486.68"/>
        <n v="292.16"/>
        <n v="130.84"/>
        <n v="263.26"/>
        <n v="174.61"/>
        <n v="268.46"/>
        <n v="67.24"/>
        <n v="70.69"/>
        <n v="76.05"/>
        <n v="470.21"/>
        <n v="367.78"/>
        <n v="85.38"/>
        <n v="98.23"/>
        <n v="366.76"/>
        <n v="82.3"/>
        <n v="121.11"/>
        <n v="481.86"/>
        <n v="131.38"/>
        <n v="332.51"/>
        <n v="489.42"/>
        <n v="190.28"/>
        <n v="13.67"/>
        <n v="125.85"/>
        <n v="416.28"/>
        <n v="432.98"/>
        <n v="385.42"/>
        <n v="60.99"/>
        <n v="398.78"/>
        <n v="459.75"/>
        <n v="302.3"/>
        <n v="470.73"/>
        <n v="335.15"/>
        <n v="290.71"/>
        <n v="177.54"/>
        <n v="83.85"/>
        <n v="304.45"/>
        <n v="162.47"/>
        <n v="433.89"/>
        <n v="496.7"/>
        <n v="377.45"/>
        <n v="49.79"/>
        <n v="147.9"/>
        <n v="59.01"/>
        <n v="327.0"/>
        <n v="383.77"/>
        <n v="463.21"/>
        <n v="221.9"/>
        <n v="451.18"/>
        <n v="439.56"/>
        <n v="162.01"/>
        <n v="435.11"/>
        <n v="190.96"/>
        <n v="151.95"/>
        <n v="326.29"/>
        <n v="167.55"/>
        <n v="316.95"/>
        <n v="306.87"/>
        <n v="283.9"/>
        <n v="193.31"/>
        <n v="276.51"/>
        <n v="300.26"/>
        <n v="275.12"/>
        <n v="224.99"/>
        <n v="12.26"/>
        <n v="295.6"/>
        <n v="88.38"/>
        <n v="323.08"/>
        <n v="380.88"/>
        <n v="252.72"/>
        <n v="273.47"/>
        <n v="475.98"/>
        <n v="424.35"/>
        <n v="457.55"/>
        <n v="407.81"/>
        <n v="58.91"/>
        <n v="78.75"/>
        <n v="265.68"/>
        <n v="126.8"/>
        <n v="240.96"/>
        <n v="200.21"/>
        <n v="276.96"/>
        <n v="374.7"/>
        <n v="359.17"/>
        <n v="263.01"/>
        <n v="412.08"/>
        <n v="218.28"/>
        <n v="448.87"/>
        <n v="40.28"/>
        <n v="477.56"/>
        <n v="329.07"/>
        <n v="193.14"/>
        <n v="102.59"/>
        <n v="242.2"/>
        <n v="101.31"/>
        <n v="87.33"/>
        <n v="310.59"/>
        <n v="263.93"/>
        <n v="336.7"/>
        <n v="465.15"/>
        <n v="268.47"/>
        <n v="292.56"/>
        <n v="49.37"/>
        <n v="360.23"/>
        <n v="202.95"/>
        <n v="488.48"/>
        <n v="412.47"/>
        <n v="263.63"/>
        <n v="66.0"/>
        <n v="430.41"/>
        <n v="400.89"/>
        <n v="96.37"/>
        <n v="151.16"/>
        <n v="397.74"/>
        <n v="96.69"/>
        <n v="459.29"/>
        <n v="215.14"/>
        <n v="48.08"/>
        <n v="408.8"/>
        <n v="189.89"/>
        <n v="265.62"/>
        <n v="60.59"/>
        <n v="6.28"/>
        <n v="320.8"/>
        <n v="260.01"/>
        <n v="298.8"/>
        <n v="397.9"/>
        <n v="325.07"/>
        <n v="91.51"/>
        <n v="183.58"/>
        <n v="453.42"/>
        <n v="280.54"/>
        <n v="131.54"/>
        <n v="154.52"/>
        <n v="426.33"/>
        <n v="337.36"/>
        <n v="405.72"/>
        <n v="384.49"/>
        <n v="79.1"/>
        <n v="214.85"/>
        <n v="80.73"/>
        <n v="121.44"/>
        <n v="435.28"/>
        <n v="239.08"/>
        <n v="270.0"/>
        <n v="93.33"/>
        <n v="159.57"/>
        <n v="118.97"/>
        <n v="107.06"/>
        <n v="320.79"/>
        <n v="132.16"/>
        <n v="317.85"/>
        <n v="33.94"/>
        <n v="75.18"/>
        <n v="140.9"/>
        <n v="300.54"/>
        <n v="339.54"/>
        <n v="224.14"/>
        <n v="225.67"/>
        <n v="363.64"/>
        <n v="173.84"/>
        <n v="410.26"/>
        <n v="303.59"/>
        <n v="171.93"/>
        <n v="453.23"/>
        <n v="387.45"/>
        <n v="136.12"/>
        <n v="324.42"/>
        <n v="299.9"/>
        <n v="203.59"/>
        <n v="186.64"/>
        <n v="175.06"/>
        <n v="310.49"/>
        <n v="223.99"/>
        <n v="416.77"/>
        <n v="336.45"/>
        <n v="39.62"/>
        <n v="321.88"/>
        <n v="139.22"/>
        <n v="341.67"/>
        <n v="119.26"/>
        <n v="231.15"/>
        <n v="99.21"/>
        <n v="30.91"/>
        <n v="192.35"/>
        <n v="184.66"/>
        <n v="497.76"/>
        <n v="225.94"/>
        <n v="170.12"/>
        <n v="292.34"/>
        <n v="48.94"/>
        <n v="481.02"/>
        <n v="319.31"/>
        <n v="378.64"/>
        <n v="89.39"/>
        <n v="207.69"/>
        <n v="214.23"/>
        <n v="411.79"/>
        <n v="5.61"/>
        <n v="153.92"/>
        <n v="490.71"/>
        <n v="240.07"/>
        <n v="194.35"/>
        <n v="64.32"/>
        <n v="487.21"/>
        <n v="14.91"/>
        <n v="369.9"/>
        <n v="385.46"/>
        <n v="125.61"/>
        <n v="337.42"/>
        <n v="51.0"/>
        <n v="132.24"/>
        <n v="395.01"/>
        <n v="433.02"/>
        <n v="306.2"/>
        <n v="255.89"/>
        <n v="83.86"/>
        <n v="36.24"/>
        <n v="63.24"/>
        <n v="117.54"/>
        <n v="174.13"/>
      </sharedItems>
    </cacheField>
    <cacheField name="Unit Cost" numFmtId="0">
      <sharedItems containsSemiMixedTypes="0" containsString="0" containsNumber="1">
        <n v="153.6"/>
        <n v="139.84"/>
        <n v="97.14"/>
        <n v="204.87"/>
        <n v="330.46"/>
        <n v="113.32"/>
        <n v="377.07"/>
        <n v="349.59"/>
        <n v="66.38"/>
        <n v="314.94"/>
        <n v="230.69"/>
        <n v="227.5"/>
        <n v="157.64"/>
        <n v="201.46"/>
        <n v="160.08"/>
        <n v="216.81"/>
        <n v="251.92"/>
        <n v="270.37"/>
        <n v="213.93"/>
        <n v="289.13"/>
        <n v="58.23"/>
        <n v="86.37"/>
        <n v="327.86"/>
        <n v="130.37"/>
        <n v="11.11"/>
        <n v="63.21"/>
        <n v="91.0"/>
        <n v="383.01"/>
        <n v="230.07"/>
        <n v="373.23"/>
        <n v="230.92"/>
        <n v="192.78"/>
        <n v="126.86"/>
        <n v="243.34"/>
        <n v="57.4"/>
        <n v="359.51"/>
        <n v="332.07"/>
        <n v="128.38"/>
        <n v="381.21"/>
        <n v="330.43"/>
        <n v="267.19"/>
        <n v="50.46"/>
        <n v="192.34"/>
        <n v="203.43"/>
        <n v="94.56"/>
        <n v="33.83"/>
        <n v="311.14"/>
        <n v="50.57"/>
        <n v="238.53"/>
        <n v="374.71"/>
        <n v="350.69"/>
        <n v="112.55"/>
        <n v="340.88"/>
        <n v="2.13"/>
        <n v="9.04"/>
        <n v="241.82"/>
        <n v="147.19"/>
        <n v="155.81"/>
        <n v="226.65"/>
        <n v="78.33"/>
        <n v="86.28"/>
        <n v="194.87"/>
        <n v="302.19"/>
        <n v="248.56"/>
        <n v="120.35"/>
        <n v="173.27"/>
        <n v="69.92"/>
        <n v="31.7"/>
        <n v="313.51"/>
        <n v="107.62"/>
        <n v="72.75"/>
        <n v="277.26"/>
        <n v="247.98"/>
        <n v="254.01"/>
        <n v="93.1"/>
        <n v="94.59"/>
        <n v="89.88"/>
        <n v="71.15"/>
        <n v="262.98"/>
        <n v="339.51"/>
        <n v="290.28"/>
        <n v="317.25"/>
        <n v="163.11"/>
        <n v="262.32"/>
        <n v="142.99"/>
        <n v="211.15"/>
        <n v="193.69"/>
        <n v="72.4"/>
        <n v="156.06"/>
        <n v="385.6"/>
        <n v="100.93"/>
        <n v="55.25"/>
        <n v="168.6"/>
        <n v="316.55"/>
        <n v="233.69"/>
        <n v="273.03"/>
        <n v="77.5"/>
        <n v="248.34"/>
        <n v="130.75"/>
        <n v="334.05"/>
        <n v="252.46"/>
        <n v="81.14"/>
        <n v="27.72"/>
        <n v="18.97"/>
        <n v="149.82"/>
        <n v="107.81"/>
        <n v="259.14"/>
        <n v="200.73"/>
        <n v="107.88"/>
        <n v="61.4"/>
        <n v="52.63"/>
        <n v="346.13"/>
        <n v="98.9"/>
        <n v="261.38"/>
        <n v="324.65"/>
        <n v="246.4"/>
        <n v="344.11"/>
        <n v="158.17"/>
        <n v="382.58"/>
        <n v="54.99"/>
        <n v="42.66"/>
        <n v="264.16"/>
        <n v="377.25"/>
        <n v="323.94"/>
        <n v="32.41"/>
        <n v="113.19"/>
        <n v="372.27"/>
        <n v="102.72"/>
        <n v="312.91"/>
        <n v="330.4"/>
        <n v="199.19"/>
        <n v="155.77"/>
        <n v="181.15"/>
        <n v="92.33"/>
        <n v="355.98"/>
        <n v="181.35"/>
        <n v="353.22"/>
        <n v="44.07"/>
        <n v="395.33"/>
        <n v="178.42"/>
        <n v="21.04"/>
        <n v="17.13"/>
        <n v="298.99"/>
        <n v="264.3"/>
        <n v="321.25"/>
        <n v="43.94"/>
        <n v="16.16"/>
        <n v="204.41"/>
        <n v="156.26"/>
        <n v="185.85"/>
        <n v="396.65"/>
        <n v="388.36"/>
        <n v="377.04"/>
        <n v="313.97"/>
        <n v="143.23"/>
        <n v="166.03"/>
        <n v="220.75"/>
        <n v="332.55"/>
        <n v="29.35"/>
        <n v="170.87"/>
        <n v="34.88"/>
        <n v="206.83"/>
        <n v="359.76"/>
        <n v="313.43"/>
        <n v="92.68"/>
        <n v="390.44"/>
        <n v="267.61"/>
        <n v="6.15"/>
        <n v="103.65"/>
        <n v="105.76"/>
        <n v="29.56"/>
        <n v="384.01"/>
        <n v="192.35"/>
        <n v="358.53"/>
        <n v="130.24"/>
        <n v="51.84"/>
        <n v="190.79"/>
        <n v="47.35"/>
        <n v="195.43"/>
        <n v="368.28"/>
        <n v="209.27"/>
        <n v="247.37"/>
        <n v="64.34"/>
        <n v="19.41"/>
        <n v="46.1"/>
        <n v="240.22"/>
        <n v="39.81"/>
        <n v="151.65"/>
        <n v="220.94"/>
        <n v="156.68"/>
        <n v="67.15"/>
        <n v="110.97"/>
        <n v="371.47"/>
        <n v="271.04"/>
        <n v="199.43"/>
        <n v="7.06"/>
        <n v="396.98"/>
        <n v="269.24"/>
        <n v="128.14"/>
        <n v="351.95"/>
        <n v="104.86"/>
        <n v="218.52"/>
        <n v="255.16"/>
        <n v="89.98"/>
        <n v="391.4"/>
        <n v="299.78"/>
        <n v="224.01"/>
        <n v="73.88"/>
        <n v="23.44"/>
        <n v="129.38"/>
        <n v="301.77"/>
        <n v="109.19"/>
        <n v="216.74"/>
        <n v="291.72"/>
        <n v="44.96"/>
        <n v="274.75"/>
        <n v="38.56"/>
        <n v="386.12"/>
        <n v="196.38"/>
        <n v="61.97"/>
        <n v="138.27"/>
        <n v="166.54"/>
        <n v="303.76"/>
        <n v="297.88"/>
        <n v="245.55"/>
        <n v="44.16"/>
        <n v="62.32"/>
        <n v="39.32"/>
        <n v="231.71"/>
        <n v="351.1"/>
        <n v="174.65"/>
        <n v="66.02"/>
        <n v="224.1"/>
        <n v="325.08"/>
        <n v="297.2"/>
        <n v="352.82"/>
        <n v="112.61"/>
        <n v="79.19"/>
        <n v="352.17"/>
        <n v="263.71"/>
        <n v="125.75"/>
        <n v="297.45"/>
        <n v="326.42"/>
        <n v="246.76"/>
        <n v="275.78"/>
        <n v="151.35"/>
        <n v="216.4"/>
        <n v="210.62"/>
        <n v="339.52"/>
        <n v="336.31"/>
        <n v="333.41"/>
        <n v="6.39"/>
        <n v="300.32"/>
        <n v="303.95"/>
        <n v="271.99"/>
        <n v="302.99"/>
        <n v="337.1"/>
        <n v="189.19"/>
        <n v="201.82"/>
        <n v="51.64"/>
        <n v="155.38"/>
        <n v="258.06"/>
        <n v="312.6"/>
        <n v="88.45"/>
        <n v="56.85"/>
        <n v="265.89"/>
        <n v="2.75"/>
        <n v="72.99"/>
        <n v="13.57"/>
        <n v="68.42"/>
        <n v="74.17"/>
        <n v="156.29"/>
        <n v="162.13"/>
        <n v="349.96"/>
        <n v="205.02"/>
        <n v="289.92"/>
        <n v="43.45"/>
        <n v="91.72"/>
        <n v="281.77"/>
        <n v="23.02"/>
        <n v="195.67"/>
        <n v="240.55"/>
        <n v="241.65"/>
        <n v="11.13"/>
        <n v="130.2"/>
        <n v="255.32"/>
        <n v="61.3"/>
        <n v="278.78"/>
        <n v="298.88"/>
        <n v="392.82"/>
        <n v="85.52"/>
        <n v="209.08"/>
        <n v="150.64"/>
        <n v="50.71"/>
        <n v="294.73"/>
        <n v="95.87"/>
        <n v="149.83"/>
        <n v="26.89"/>
        <n v="320.94"/>
        <n v="307.1"/>
        <n v="293.98"/>
        <n v="121.18"/>
        <n v="71.05"/>
        <n v="255.75"/>
        <n v="199.47"/>
        <n v="72.94"/>
        <n v="274.99"/>
        <n v="396.47"/>
        <n v="299.39"/>
        <n v="296.51"/>
        <n v="380.22"/>
        <n v="82.77"/>
        <n v="227.09"/>
        <n v="391.9"/>
        <n v="67.79"/>
        <n v="280.7"/>
        <n v="235.15"/>
        <n v="235.42"/>
        <n v="279.67"/>
        <n v="371.99"/>
        <n v="313.47"/>
        <n v="24.34"/>
        <n v="341.39"/>
        <n v="91.77"/>
        <n v="152.01"/>
        <n v="185.77"/>
        <n v="193.4"/>
        <n v="175.2"/>
        <n v="375.07"/>
        <n v="283.0"/>
        <n v="253.21"/>
        <n v="21.84"/>
        <n v="361.76"/>
        <n v="363.94"/>
        <n v="312.52"/>
        <n v="4.8"/>
        <n v="24.8"/>
        <n v="91.64"/>
        <n v="54.28"/>
        <n v="160.74"/>
        <n v="369.2"/>
        <n v="189.88"/>
        <n v="7.33"/>
        <n v="114.53"/>
        <n v="19.75"/>
        <n v="16.44"/>
        <n v="111.74"/>
        <n v="111.69"/>
        <n v="315.28"/>
      </sharedItems>
    </cacheField>
    <cacheField name="Total sales" numFmtId="0">
      <sharedItems containsSemiMixedTypes="0" containsString="0" containsNumber="1">
        <n v="35936.2"/>
        <n v="159560.72"/>
        <n v="84835.26"/>
        <n v="5661.539999999999"/>
        <n v="185396.88"/>
        <n v="15095.43"/>
        <n v="8322.52"/>
        <n v="89669.7"/>
        <n v="112610.96"/>
        <n v="135939.0"/>
        <n v="92355.0"/>
        <n v="116907.05"/>
        <n v="3347.61"/>
        <n v="40676.96000000001"/>
        <n v="10439.17"/>
        <n v="122597.23000000001"/>
        <n v="77654.2"/>
        <n v="130106.2"/>
        <n v="44814.4"/>
        <n v="30669.210000000003"/>
        <n v="68990.46"/>
        <n v="110073.62000000001"/>
        <n v="17177.32"/>
        <n v="141882.0"/>
        <n v="40637.1"/>
        <n v="12506.699999999999"/>
        <n v="24913.79"/>
        <n v="0.0"/>
        <n v="154333.9"/>
        <n v="15255.0"/>
        <n v="33644.189999999995"/>
        <n v="12209.33"/>
        <n v="14061.6"/>
        <n v="47674.130000000005"/>
        <n v="37336.86"/>
        <n v="75935.38"/>
        <n v="82098.9"/>
        <n v="31238.35"/>
        <n v="10332.630000000001"/>
        <n v="153872.07"/>
        <n v="15495.76"/>
        <n v="131364.0"/>
        <n v="62705.4"/>
        <n v="81631.14"/>
        <n v="70305.53"/>
        <n v="66620.25"/>
        <n v="3049.8"/>
        <n v="69269.1"/>
        <n v="53995.62"/>
        <n v="30387.87"/>
        <n v="143898.62"/>
        <n v="22387.64"/>
        <n v="33735.48"/>
        <n v="45544.63"/>
        <n v="32534.84"/>
        <n v="54210.0"/>
        <n v="87635.76000000001"/>
        <n v="22616.28"/>
        <n v="43088.88"/>
        <n v="73932.8"/>
        <n v="36807.77"/>
        <n v="110565.8"/>
        <n v="63622.0"/>
        <n v="31087.84"/>
        <n v="111516.94"/>
        <n v="41261.649999999994"/>
        <n v="627.52"/>
        <n v="31438.8"/>
        <n v="12983.24"/>
        <n v="11096.460000000001"/>
        <n v="96412.27"/>
        <n v="75286.98"/>
        <n v="13320.0"/>
        <n v="1668.8"/>
        <n v="142593.0"/>
        <n v="64282.53"/>
        <n v="159848.4"/>
        <n v="4223.62"/>
        <n v="49475.42"/>
        <n v="14465.28"/>
        <n v="85372.4"/>
        <n v="11132.03"/>
        <n v="44223.4"/>
        <n v="118131.48"/>
        <n v="48117.0"/>
        <n v="14515.939999999999"/>
        <n v="110390.04"/>
        <n v="23453.600000000002"/>
        <n v="104408.73"/>
        <n v="68968.0"/>
        <n v="10440.1"/>
        <n v="7150.0"/>
        <n v="29984.120000000003"/>
        <n v="23519.16"/>
        <n v="73747.08"/>
        <n v="4721.08"/>
        <n v="99294.20999999999"/>
        <n v="90941.68000000001"/>
        <n v="128563.71"/>
        <n v="44512.149999999994"/>
        <n v="197785.03"/>
        <n v="99291.84"/>
        <n v="101821.5"/>
        <n v="3770.2400000000002"/>
        <n v="165292.35"/>
        <n v="31354.120000000003"/>
        <n v="50510.43"/>
        <n v="14193.76"/>
        <n v="26709.4"/>
        <n v="28127.66"/>
        <n v="21927.63"/>
        <n v="23980.440000000002"/>
        <n v="18413.920000000002"/>
        <n v="123946.61000000002"/>
        <n v="23850.54"/>
        <n v="69384.8"/>
        <n v="56029.05"/>
        <n v="15849.300000000001"/>
        <n v="6609.599999999999"/>
        <n v="47340.649999999994"/>
        <n v="99769.4"/>
        <n v="120662.08000000002"/>
        <n v="47233.24"/>
        <n v="129787.18"/>
        <n v="43827.11"/>
        <n v="15330.72"/>
        <n v="14208.689999999999"/>
        <n v="1977.3"/>
        <n v="9874.41"/>
        <n v="152628.69999999998"/>
        <n v="35005.799999999996"/>
        <n v="39586.69"/>
        <n v="140469.08"/>
        <n v="16624.6"/>
        <n v="3754.41"/>
        <n v="232738.38"/>
        <n v="16948.02"/>
        <n v="72819.69"/>
        <n v="154167.30000000002"/>
        <n v="53088.12"/>
        <n v="2747.67"/>
        <n v="23156.399999999998"/>
        <n v="122386.31999999999"/>
        <n v="92224.74"/>
        <n v="66677.66"/>
        <n v="15857.4"/>
        <n v="94112.07999999999"/>
        <n v="204588.75"/>
        <n v="117897.0"/>
        <n v="220772.37"/>
        <n v="12735.699999999999"/>
        <n v="117446.84"/>
        <n v="7456.679999999999"/>
        <n v="11990.55"/>
        <n v="114473.2"/>
        <n v="14297.36"/>
        <n v="184403.25"/>
        <n v="220534.8"/>
        <n v="176646.6"/>
        <n v="3335.93"/>
        <n v="70992.0"/>
        <n v="2065.35"/>
        <n v="160557.0"/>
        <n v="168475.03"/>
        <n v="108854.34999999999"/>
        <n v="65238.6"/>
        <n v="5865.34"/>
        <n v="208351.44"/>
        <n v="17497.079999999998"/>
        <n v="176654.66"/>
        <n v="95098.08"/>
        <n v="7293.599999999999"/>
        <n v="91361.20000000001"/>
        <n v="64339.200000000004"/>
        <n v="93183.3"/>
        <n v="50940.42"/>
        <n v="23847.6"/>
        <n v="73651.11"/>
        <n v="82123.47"/>
        <n v="41736.14"/>
        <n v="50622.08"/>
        <n v="105970.29000000001"/>
        <n v="1140.18"/>
        <n v="9163.6"/>
        <n v="41361.84"/>
        <n v="11630.88"/>
        <n v="77699.52"/>
        <n v="87441.12"/>
        <n v="106926.77"/>
        <n v="116615.1"/>
        <n v="190533.15000000002"/>
        <n v="46212.55"/>
        <n v="1767.3"/>
        <n v="24570.0"/>
        <n v="125666.64"/>
        <n v="46408.799999999996"/>
        <n v="108913.92"/>
        <n v="18619.530000000002"/>
        <n v="75056.15999999999"/>
        <n v="58453.2"/>
        <n v="161626.5"/>
        <n v="121510.62"/>
        <n v="163183.68"/>
        <n v="58062.48"/>
        <n v="30074.29"/>
        <n v="15668.92"/>
        <n v="205828.36000000002"/>
        <n v="7897.68"/>
        <n v="33026.939999999995"/>
        <n v="46575.86"/>
        <n v="41658.4"/>
        <n v="33330.99"/>
        <n v="25325.7"/>
        <n v="89760.51"/>
        <n v="5542.53"/>
        <n v="95286.09999999999"/>
        <n v="130242.0"/>
        <n v="58257.990000000005"/>
        <n v="10532.16"/>
        <n v="24855.870000000003"/>
        <n v="89095.04999999999"/>
        <n v="235447.36000000002"/>
        <n v="63520.380000000005"/>
        <n v="26890.26"/>
        <n v="20988.0"/>
        <n v="7316.97"/>
        <n v="35278.32"/>
        <n v="3469.32"/>
        <n v="27662.28"/>
        <n v="23466.66"/>
        <n v="20111.52"/>
        <n v="181878.84"/>
        <n v="77020.12"/>
        <n v="21972.559999999998"/>
        <n v="178645.6"/>
        <n v="36079.1"/>
        <n v="8765.460000000001"/>
        <n v="19691.75"/>
        <n v="2430.36"/>
        <n v="127036.8"/>
        <n v="107384.12999999999"/>
        <n v="9549.599999999999"/>
        <n v="52661.34"/>
        <n v="21138.81"/>
        <n v="39469.700000000004"/>
        <n v="210386.88"/>
        <n v="109691.14000000001"/>
        <n v="32227.3"/>
        <n v="53927.48"/>
        <n v="7673.94"/>
        <n v="59038.0"/>
        <n v="178922.52000000002"/>
        <n v="174173.97"/>
        <n v="25944.8"/>
        <n v="47911.549999999996"/>
        <n v="10171.980000000001"/>
        <n v="47968.799999999996"/>
        <n v="153653.84"/>
        <n v="19365.48"/>
        <n v="109080.0"/>
        <n v="6813.09"/>
        <n v="34147.979999999996"/>
        <n v="25935.46"/>
        <n v="8671.86"/>
        <n v="91745.94"/>
        <n v="37401.28"/>
        <n v="154792.95"/>
        <n v="11166.259999999998"/>
        <n v="26087.460000000003"/>
        <n v="52837.5"/>
        <n v="31256.160000000003"/>
        <n v="59419.5"/>
        <n v="9189.74"/>
        <n v="4513.4"/>
        <n v="112728.4"/>
        <n v="45538.86"/>
        <n v="131758.06"/>
        <n v="68943.93000000001"/>
        <n v="125091.48000000001"/>
        <n v="25590.56"/>
        <n v="31468.74"/>
        <n v="14994.999999999998"/>
        <n v="83471.9"/>
        <n v="15864.4"/>
        <n v="67573.16"/>
        <n v="17076.95"/>
        <n v="37854.310000000005"/>
        <n v="196715.44"/>
        <n v="29944.05"/>
        <n v="12638.779999999999"/>
        <n v="30578.6"/>
        <n v="14061.22"/>
        <n v="58083.9"/>
        <n v="25163.86"/>
        <n v="100087.95"/>
        <n v="42164.25"/>
        <n v="7758.41"/>
        <n v="2031.26"/>
        <n v="116475.84"/>
        <n v="41169.04"/>
        <n v="137399.8"/>
        <n v="20701.62"/>
        <n v="204914.52"/>
        <n v="27460.66"/>
        <n v="47330.0"/>
        <n v="14570.57"/>
        <n v="86191.35"/>
        <n v="23993.76"/>
        <n v="83593.37000000001"/>
        <n v="56642.56"/>
        <n v="48580.29"/>
        <n v="43932.81"/>
        <n v="25459.85"/>
        <n v="9776.64"/>
        <n v="239220.11"/>
        <n v="1714.65"/>
        <n v="142041.59999999998"/>
        <n v="168446.02"/>
        <n v="39441.54"/>
        <n v="124507.98000000001"/>
        <n v="23868.0"/>
        <n v="43110.240000000005"/>
        <n v="181704.6"/>
        <n v="57158.64"/>
        <n v="122173.79999999999"/>
        <n v="4606.0199999999995"/>
        <n v="22726.06"/>
        <n v="2971.6800000000003"/>
        <n v="23272.32"/>
        <n v="27269.280000000002"/>
        <n v="74005.25"/>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N355" sheet="Q8"/>
  </cacheSource>
  <cacheFields>
    <cacheField name="Answer" numFmtId="0">
      <sharedItems containsString="0" containsBlank="1">
        <m/>
      </sharedItems>
    </cacheField>
    <cacheField name="Order ID" numFmtId="0">
      <sharedItems>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haredItems>
    </cacheField>
    <cacheField name="Region" numFmtId="0">
      <sharedItems containsBlank="1">
        <s v="East"/>
        <s v="West"/>
        <s v="North"/>
        <m/>
        <s v="South"/>
      </sharedItems>
    </cacheField>
    <cacheField name="Country" numFmtId="0">
      <sharedItems>
        <s v="Germany"/>
        <s v="India"/>
        <s v="USA"/>
        <s v="UK"/>
        <s v="Australia"/>
      </sharedItems>
    </cacheField>
    <cacheField name="Category" numFmtId="0">
      <sharedItems containsBlank="1">
        <s v="Beverages"/>
        <s v="Food"/>
        <s v="Clothing"/>
        <s v="Furniture"/>
        <s v="Electronics"/>
        <m/>
      </sharedItems>
    </cacheField>
    <cacheField name="Sales Channel" numFmtId="0">
      <sharedItems>
        <s v="Online"/>
        <s v="Offline"/>
      </sharedItems>
    </cacheField>
    <cacheField name="Order Priority" numFmtId="0">
      <sharedItems>
        <s v="High"/>
        <s v="Low"/>
        <s v="Medium"/>
      </sharedItems>
    </cacheField>
    <cacheField name="Order Date" numFmtId="164">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1T00:00:00Z"/>
        <d v="2023-03-22T00:00:00Z"/>
        <d v="2023-03-23T00:00:00Z"/>
        <d v="2023-03-24T00:00:00Z"/>
        <d v="2023-03-25T00:00:00Z"/>
        <d v="2023-03-26T00:00:00Z"/>
        <d v="2023-03-27T00:00:00Z"/>
        <d v="2023-03-28T00:00:00Z"/>
        <d v="2023-03-29T00:00:00Z"/>
        <d v="2023-03-30T00:00:00Z"/>
        <d v="2023-03-31T00:00:00Z"/>
        <d v="2023-04-01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5-29T00:00:00Z"/>
        <d v="2023-05-30T00:00:00Z"/>
        <d v="2023-05-31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7-29T00:00:00Z"/>
        <d v="2023-07-30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8-29T00:00:00Z"/>
        <d v="2023-08-30T00:00:00Z"/>
        <d v="2023-08-31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09-29T00:00:00Z"/>
        <d v="2023-09-30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0-29T00:00:00Z"/>
        <d v="2023-10-30T00:00:00Z"/>
        <d v="2023-10-31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sharedItems>
    </cacheField>
    <cacheField name="Units Sold" numFmtId="0">
      <sharedItems containsString="0" containsBlank="1" containsNumber="1" containsInteger="1">
        <n v="235.0"/>
        <n v="341.0"/>
        <n v="179.0"/>
        <n v="18.0"/>
        <n v="472.0"/>
        <n v="49.0"/>
        <n v="34.0"/>
        <n v="270.0"/>
        <n v="404.0"/>
        <n v="452.0"/>
        <n v="481.0"/>
        <n v="133.0"/>
        <n v="47.0"/>
        <n v="337.0"/>
        <n v="260.0"/>
        <n v="398.0"/>
        <n v="185.0"/>
        <n v="99.0"/>
        <n v="411.0"/>
        <n v="463.0"/>
        <n v="46.0"/>
        <n v="325.0"/>
        <n v="470.0"/>
        <n v="293.0"/>
        <n v="462.0"/>
        <n v="90.0"/>
        <n v="123.0"/>
        <n v="310.0"/>
        <n v="233.0"/>
        <n v="327.0"/>
        <n v="358.0"/>
        <n v="124.0"/>
        <n v="195.0"/>
        <m/>
        <n v="65.0"/>
        <n v="363.0"/>
        <n v="356.0"/>
        <n v="246.0"/>
        <n v="298.0"/>
        <n v="271.0"/>
        <n v="225.0"/>
        <n v="156.0"/>
        <n v="345.0"/>
        <n v="177.0"/>
        <n v="101.0"/>
        <n v="362.0"/>
        <n v="68.0"/>
        <n v="313.0"/>
        <n v="178.0"/>
        <n v="278.0"/>
        <n v="372.0"/>
        <n v="54.0"/>
        <n v="354.0"/>
        <n v="190.0"/>
        <n v="365.0"/>
        <n v="200.0"/>
        <n v="164.0"/>
        <n v="431.0"/>
        <n v="197.0"/>
        <n v="16.0"/>
        <n v="142.0"/>
        <n v="244.0"/>
        <n v="323.0"/>
        <n v="258.0"/>
        <n v="40.0"/>
        <n v="32.0"/>
        <n v="435.0"/>
        <n v="403.0"/>
        <n v="169.0"/>
        <n v="446.0"/>
        <n v="167.0"/>
        <n v="48.0"/>
        <n v="424.0"/>
        <n v="91.0"/>
        <n v="267.0"/>
        <n v="215.0"/>
        <n v="86.0"/>
        <n v="486.0"/>
        <n v="21.0"/>
        <n v="304.0"/>
        <n v="459.0"/>
        <n v="22.0"/>
        <n v="55.0"/>
        <n v="122.0"/>
        <n v="242.0"/>
        <n v="26.0"/>
        <n v="369.0"/>
        <n v="232.0"/>
        <n v="457.0"/>
        <n v="353.0"/>
        <n v="374.0"/>
        <n v="172.0"/>
        <n v="335.0"/>
        <n v="476.0"/>
        <n v="423.0"/>
        <n v="464.0"/>
        <n v="83.0"/>
        <n v="491.0"/>
        <n v="328.0"/>
        <n v="421.0"/>
        <n v="69.0"/>
        <n v="344.0"/>
        <n v="231.0"/>
        <n v="287.0"/>
        <n v="205.0"/>
        <n v="413.0"/>
        <n v="361.0"/>
        <n v="493.0"/>
        <n v="251.0"/>
        <n v="228.0"/>
        <n v="201.0"/>
        <n v="415.0"/>
        <n v="410.0"/>
        <n v="383.0"/>
        <n v="202.0"/>
        <n v="31.0"/>
        <n v="483.0"/>
        <n v="129.0"/>
        <n v="219.0"/>
        <n v="315.0"/>
        <n v="279.0"/>
        <n v="184.0"/>
        <n v="294.0"/>
        <n v="213.0"/>
        <n v="173.0"/>
        <n v="236.0"/>
        <n v="445.0"/>
        <n v="390.0"/>
        <n v="469.0"/>
        <n v="38.0"/>
        <n v="42.0"/>
        <n v="143.0"/>
        <n v="376.0"/>
        <n v="88.0"/>
        <n v="425.0"/>
        <n v="444.0"/>
        <n v="468.0"/>
        <n v="67.0"/>
        <n v="480.0"/>
        <n v="35.0"/>
        <n v="439.0"/>
        <n v="13.0"/>
        <n v="474.0"/>
        <n v="108.0"/>
        <n v="406.0"/>
        <n v="498.0"/>
        <n v="280.0"/>
        <n v="384.0"/>
        <n v="166.0"/>
        <n v="84.0"/>
        <n v="381.0"/>
        <n v="297.0"/>
        <n v="139.0"/>
        <n v="471.0"/>
        <n v="93.0"/>
        <n v="36.0"/>
        <n v="204.0"/>
        <n v="346.0"/>
        <n v="391.0"/>
        <n v="245.0"/>
        <n v="449.0"/>
        <n v="30.0"/>
        <n v="312.0"/>
        <n v="473.0"/>
        <n v="366.0"/>
        <n v="450.0"/>
        <n v="396.0"/>
        <n v="266.0"/>
        <n v="389.0"/>
        <n v="24.0"/>
        <n v="171.0"/>
        <n v="454.0"/>
        <n v="329.0"/>
        <n v="290.0"/>
        <n v="289.0"/>
        <n v="283.0"/>
        <n v="217.0"/>
        <n v="482.0"/>
        <n v="154.0"/>
        <n v="102.0"/>
        <n v="318.0"/>
        <n v="17.0"/>
        <n v="183.0"/>
        <n v="59.0"/>
        <n v="208.0"/>
        <n v="437.0"/>
        <n v="33.0"/>
        <n v="387.0"/>
        <n v="162.0"/>
        <n v="282.0"/>
        <n v="349.0"/>
        <n v="237.0"/>
        <n v="175.0"/>
        <n v="441.0"/>
        <n v="453.0"/>
        <n v="223.0"/>
        <n v="126.0"/>
        <n v="395.0"/>
        <n v="81.0"/>
        <n v="73.0"/>
        <n v="214.0"/>
        <n v="218.0"/>
        <n v="286.0"/>
        <n v="487.0"/>
        <n v="347.0"/>
        <n v="375.0"/>
        <n v="104.0"/>
        <n v="41.0"/>
        <n v="20.0"/>
        <n v="226.0"/>
        <n v="111.0"/>
        <n v="434.0"/>
        <n v="401.0"/>
        <n v="276.0"/>
        <n v="188.0"/>
        <n v="97.0"/>
        <n v="50.0"/>
        <n v="85.0"/>
        <n v="386.0"/>
        <n v="89.0"/>
        <n v="319.0"/>
        <n v="95.0"/>
        <n v="157.0"/>
        <n v="170.0"/>
        <n v="211.0"/>
        <n v="433.0"/>
        <n v="11.0"/>
        <n v="234.0"/>
        <n v="426.0"/>
        <n v="125.0"/>
        <n v="163.0"/>
        <n v="112.0"/>
        <n v="203.0"/>
        <n v="368.0"/>
        <n v="131.0"/>
        <n v="152.0"/>
        <n v="115.0"/>
        <n v="314.0"/>
        <n v="326.0"/>
        <n v="460.0"/>
        <n v="132.0"/>
        <n v="399.0"/>
        <n v="82.0"/>
      </sharedItems>
    </cacheField>
    <cacheField name="Unit Price" numFmtId="0">
      <sharedItems containsString="0" containsBlank="1" containsNumber="1">
        <n v="152.92"/>
        <n v="467.92"/>
        <n v="473.94"/>
        <n v="314.53"/>
        <n v="392.79"/>
        <n v="308.07"/>
        <n v="244.78"/>
        <n v="332.11"/>
        <n v="278.74"/>
        <n v="300.75"/>
        <n v="393.0"/>
        <n v="243.05"/>
        <n v="25.17"/>
        <n v="86.18"/>
        <n v="222.11"/>
        <n v="363.79"/>
        <n v="298.67"/>
        <n v="326.9"/>
        <n v="242.24"/>
        <n v="309.79"/>
        <n v="167.86"/>
        <n v="237.74"/>
        <n v="373.42"/>
        <n v="436.56"/>
        <n v="219.66"/>
        <n v="26.61"/>
        <n v="85.03"/>
        <m/>
        <n v="328.37"/>
        <n v="169.5"/>
        <n v="273.53"/>
        <n v="249.17"/>
        <n v="45.36"/>
        <n v="204.61"/>
        <n v="114.18"/>
        <n v="212.11"/>
        <n v="421.02"/>
        <n v="91.23"/>
        <n v="480.59"/>
        <n v="210.87"/>
        <n v="423.89"/>
        <n v="316.24"/>
        <n v="369.0"/>
        <n v="254.9"/>
        <n v="273.93"/>
        <n v="259.43"/>
        <n v="296.09"/>
        <n v="19.55"/>
        <n v="200.78"/>
        <n v="305.06"/>
        <n v="300.87"/>
        <n v="397.51"/>
        <n v="329.23"/>
        <n v="496.11"/>
        <n v="145.51"/>
        <n v="182.78"/>
        <n v="195.0"/>
        <n v="235.58"/>
        <n v="418.82"/>
        <n v="121.72"/>
        <n v="389.12"/>
        <n v="205.63"/>
        <n v="302.92"/>
        <n v="318.11"/>
        <n v="189.56"/>
        <n v="258.74"/>
        <n v="209.45"/>
        <n v="39.22"/>
        <n v="221.4"/>
        <n v="53.21"/>
        <n v="205.49"/>
        <n v="298.49"/>
        <n v="291.81"/>
        <n v="333.0"/>
        <n v="52.15"/>
        <n v="327.8"/>
        <n v="159.51"/>
        <n v="429.7"/>
        <n v="9.47"/>
        <n v="296.26"/>
        <n v="301.36"/>
        <n v="201.35"/>
        <n v="122.33"/>
        <n v="121.16"/>
        <n v="442.44"/>
        <n v="223.8"/>
        <n v="168.79"/>
        <n v="227.14"/>
        <n v="77.15"/>
        <n v="227.47"/>
        <n v="296.0"/>
        <n v="474.55"/>
        <n v="130.0"/>
        <n v="182.83"/>
        <n v="192.78"/>
        <n v="304.74"/>
        <n v="181.58"/>
        <n v="269.09"/>
        <n v="391.99"/>
        <n v="354.17"/>
        <n v="225.95"/>
        <n v="432.79"/>
        <n v="281.28"/>
        <n v="272.25"/>
        <n v="21.92"/>
        <n v="493.41"/>
        <n v="65.87"/>
        <n v="119.41"/>
        <n v="30.59"/>
        <n v="321.8"/>
        <n v="116.23"/>
        <n v="94.11"/>
        <n v="48.84"/>
        <n v="56.14"/>
        <n v="294.41"/>
        <n v="345.66"/>
        <n v="201.7"/>
        <n v="242.55"/>
        <n v="344.55"/>
        <n v="13.6"/>
        <n v="164.95"/>
        <n v="486.68"/>
        <n v="292.16"/>
        <n v="130.84"/>
        <n v="263.26"/>
        <n v="174.61"/>
        <n v="268.46"/>
        <n v="67.24"/>
        <n v="70.69"/>
        <n v="76.05"/>
        <n v="470.21"/>
        <n v="367.78"/>
        <n v="85.38"/>
        <n v="98.23"/>
        <n v="366.76"/>
        <n v="82.3"/>
        <n v="121.11"/>
        <n v="481.86"/>
        <n v="131.38"/>
        <n v="332.51"/>
        <n v="489.42"/>
        <n v="190.28"/>
        <n v="13.67"/>
        <n v="125.85"/>
        <n v="416.28"/>
        <n v="432.98"/>
        <n v="385.42"/>
        <n v="60.99"/>
        <n v="398.78"/>
        <n v="459.75"/>
        <n v="302.3"/>
        <n v="470.73"/>
        <n v="335.15"/>
        <n v="290.71"/>
        <n v="177.54"/>
        <n v="83.85"/>
        <n v="304.45"/>
        <n v="162.47"/>
        <n v="433.89"/>
        <n v="496.7"/>
        <n v="377.45"/>
        <n v="49.79"/>
        <n v="147.9"/>
        <n v="59.01"/>
        <n v="327.0"/>
        <n v="383.77"/>
        <n v="463.21"/>
        <n v="221.9"/>
        <n v="451.18"/>
        <n v="439.56"/>
        <n v="162.01"/>
        <n v="435.11"/>
        <n v="190.96"/>
        <n v="151.95"/>
        <n v="326.29"/>
        <n v="167.55"/>
        <n v="316.95"/>
        <n v="306.87"/>
        <n v="283.9"/>
        <n v="193.31"/>
        <n v="276.51"/>
        <n v="300.26"/>
        <n v="275.12"/>
        <n v="224.99"/>
        <n v="12.26"/>
        <n v="295.6"/>
        <n v="88.38"/>
        <n v="323.08"/>
        <n v="380.88"/>
        <n v="252.72"/>
        <n v="273.47"/>
        <n v="475.98"/>
        <n v="424.35"/>
        <n v="457.55"/>
        <n v="407.81"/>
        <n v="58.91"/>
        <n v="78.75"/>
        <n v="265.68"/>
        <n v="126.8"/>
        <n v="240.96"/>
        <n v="200.21"/>
        <n v="276.96"/>
        <n v="374.7"/>
        <n v="359.17"/>
        <n v="263.01"/>
        <n v="412.08"/>
        <n v="218.28"/>
        <n v="448.87"/>
        <n v="40.28"/>
        <n v="477.56"/>
        <n v="329.07"/>
        <n v="193.14"/>
        <n v="102.59"/>
        <n v="242.2"/>
        <n v="101.31"/>
        <n v="87.33"/>
        <n v="310.59"/>
        <n v="263.93"/>
        <n v="336.7"/>
        <n v="465.15"/>
        <n v="268.47"/>
        <n v="292.56"/>
        <n v="49.37"/>
        <n v="360.23"/>
        <n v="202.95"/>
        <n v="488.48"/>
        <n v="412.47"/>
        <n v="263.63"/>
        <n v="66.0"/>
        <n v="430.41"/>
        <n v="400.89"/>
        <n v="96.37"/>
        <n v="151.16"/>
        <n v="397.74"/>
        <n v="96.69"/>
        <n v="459.29"/>
        <n v="215.14"/>
        <n v="48.08"/>
        <n v="408.8"/>
        <n v="189.89"/>
        <n v="265.62"/>
        <n v="60.59"/>
        <n v="6.28"/>
        <n v="320.8"/>
        <n v="260.01"/>
        <n v="298.8"/>
        <n v="397.9"/>
        <n v="325.07"/>
        <n v="91.51"/>
        <n v="183.58"/>
        <n v="453.42"/>
        <n v="280.54"/>
        <n v="131.54"/>
        <n v="154.52"/>
        <n v="426.33"/>
        <n v="337.36"/>
        <n v="405.72"/>
        <n v="384.49"/>
        <n v="79.1"/>
        <n v="214.85"/>
        <n v="80.73"/>
        <n v="121.44"/>
        <n v="435.28"/>
        <n v="239.08"/>
        <n v="270.0"/>
        <n v="93.33"/>
        <n v="159.57"/>
        <n v="118.97"/>
        <n v="107.06"/>
        <n v="320.79"/>
        <n v="132.16"/>
        <n v="317.85"/>
        <n v="33.94"/>
        <n v="75.18"/>
        <n v="140.9"/>
        <n v="300.54"/>
        <n v="339.54"/>
        <n v="224.14"/>
        <n v="225.67"/>
        <n v="363.64"/>
        <n v="173.84"/>
        <n v="410.26"/>
        <n v="303.59"/>
        <n v="171.93"/>
        <n v="453.23"/>
        <n v="387.45"/>
        <n v="136.12"/>
        <n v="324.42"/>
        <n v="299.9"/>
        <n v="203.59"/>
        <n v="186.64"/>
        <n v="175.06"/>
        <n v="310.49"/>
        <n v="223.99"/>
        <n v="416.77"/>
        <n v="336.45"/>
        <n v="39.62"/>
        <n v="321.88"/>
        <n v="139.22"/>
        <n v="341.67"/>
        <n v="119.26"/>
        <n v="231.15"/>
        <n v="99.21"/>
        <n v="30.91"/>
        <n v="192.35"/>
        <n v="184.66"/>
        <n v="497.76"/>
        <n v="225.94"/>
        <n v="170.12"/>
        <n v="292.34"/>
        <n v="48.94"/>
        <n v="481.02"/>
        <n v="319.31"/>
        <n v="378.64"/>
        <n v="89.39"/>
        <n v="207.69"/>
        <n v="214.23"/>
        <n v="411.79"/>
        <n v="5.61"/>
        <n v="153.92"/>
        <n v="490.71"/>
        <n v="240.07"/>
        <n v="194.35"/>
        <n v="64.32"/>
        <n v="487.21"/>
        <n v="14.91"/>
        <n v="369.9"/>
        <n v="385.46"/>
        <n v="125.61"/>
        <n v="337.42"/>
        <n v="51.0"/>
        <n v="132.24"/>
        <n v="395.01"/>
        <n v="433.02"/>
        <n v="306.2"/>
        <n v="255.89"/>
        <n v="83.86"/>
        <n v="36.24"/>
        <n v="63.24"/>
        <n v="117.54"/>
        <n v="174.13"/>
      </sharedItems>
    </cacheField>
    <cacheField name="Unit Cost" numFmtId="0">
      <sharedItems containsSemiMixedTypes="0" containsString="0" containsNumber="1">
        <n v="153.6"/>
        <n v="139.84"/>
        <n v="97.14"/>
        <n v="204.87"/>
        <n v="330.46"/>
        <n v="113.32"/>
        <n v="377.07"/>
        <n v="349.59"/>
        <n v="66.38"/>
        <n v="314.94"/>
        <n v="230.69"/>
        <n v="227.5"/>
        <n v="157.64"/>
        <n v="201.46"/>
        <n v="160.08"/>
        <n v="216.81"/>
        <n v="251.92"/>
        <n v="270.37"/>
        <n v="213.93"/>
        <n v="289.13"/>
        <n v="58.23"/>
        <n v="86.37"/>
        <n v="327.86"/>
        <n v="130.37"/>
        <n v="11.11"/>
        <n v="63.21"/>
        <n v="91.0"/>
        <n v="383.01"/>
        <n v="230.07"/>
        <n v="373.23"/>
        <n v="230.92"/>
        <n v="192.78"/>
        <n v="126.86"/>
        <n v="243.34"/>
        <n v="57.4"/>
        <n v="359.51"/>
        <n v="332.07"/>
        <n v="128.38"/>
        <n v="381.21"/>
        <n v="330.43"/>
        <n v="267.19"/>
        <n v="50.46"/>
        <n v="192.34"/>
        <n v="203.43"/>
        <n v="94.56"/>
        <n v="33.83"/>
        <n v="311.14"/>
        <n v="50.57"/>
        <n v="238.53"/>
        <n v="374.71"/>
        <n v="350.69"/>
        <n v="112.55"/>
        <n v="340.88"/>
        <n v="2.13"/>
        <n v="9.04"/>
        <n v="241.82"/>
        <n v="147.19"/>
        <n v="155.81"/>
        <n v="226.65"/>
        <n v="78.33"/>
        <n v="86.28"/>
        <n v="194.87"/>
        <n v="302.19"/>
        <n v="248.56"/>
        <n v="120.35"/>
        <n v="173.27"/>
        <n v="69.92"/>
        <n v="31.7"/>
        <n v="313.51"/>
        <n v="107.62"/>
        <n v="72.75"/>
        <n v="277.26"/>
        <n v="247.98"/>
        <n v="254.01"/>
        <n v="93.1"/>
        <n v="94.59"/>
        <n v="89.88"/>
        <n v="71.15"/>
        <n v="262.98"/>
        <n v="339.51"/>
        <n v="290.28"/>
        <n v="317.25"/>
        <n v="163.11"/>
        <n v="262.32"/>
        <n v="142.99"/>
        <n v="211.15"/>
        <n v="193.69"/>
        <n v="72.4"/>
        <n v="156.06"/>
        <n v="385.6"/>
        <n v="100.93"/>
        <n v="55.25"/>
        <n v="168.6"/>
        <n v="316.55"/>
        <n v="233.69"/>
        <n v="273.03"/>
        <n v="77.5"/>
        <n v="248.34"/>
        <n v="130.75"/>
        <n v="334.05"/>
        <n v="252.46"/>
        <n v="81.14"/>
        <n v="27.72"/>
        <n v="18.97"/>
        <n v="149.82"/>
        <n v="107.81"/>
        <n v="259.14"/>
        <n v="200.73"/>
        <n v="107.88"/>
        <n v="61.4"/>
        <n v="52.63"/>
        <n v="346.13"/>
        <n v="98.9"/>
        <n v="261.38"/>
        <n v="324.65"/>
        <n v="246.4"/>
        <n v="344.11"/>
        <n v="158.17"/>
        <n v="382.58"/>
        <n v="54.99"/>
        <n v="42.66"/>
        <n v="264.16"/>
        <n v="377.25"/>
        <n v="323.94"/>
        <n v="32.41"/>
        <n v="113.19"/>
        <n v="372.27"/>
        <n v="102.72"/>
        <n v="312.91"/>
        <n v="330.4"/>
        <n v="199.19"/>
        <n v="155.77"/>
        <n v="181.15"/>
        <n v="92.33"/>
        <n v="355.98"/>
        <n v="181.35"/>
        <n v="353.22"/>
        <n v="44.07"/>
        <n v="395.33"/>
        <n v="178.42"/>
        <n v="21.04"/>
        <n v="17.13"/>
        <n v="298.99"/>
        <n v="264.3"/>
        <n v="321.25"/>
        <n v="43.94"/>
        <n v="16.16"/>
        <n v="204.41"/>
        <n v="156.26"/>
        <n v="185.85"/>
        <n v="396.65"/>
        <n v="388.36"/>
        <n v="377.04"/>
        <n v="313.97"/>
        <n v="143.23"/>
        <n v="166.03"/>
        <n v="220.75"/>
        <n v="332.55"/>
        <n v="29.35"/>
        <n v="170.87"/>
        <n v="34.88"/>
        <n v="206.83"/>
        <n v="359.76"/>
        <n v="313.43"/>
        <n v="92.68"/>
        <n v="390.44"/>
        <n v="267.61"/>
        <n v="6.15"/>
        <n v="103.65"/>
        <n v="105.76"/>
        <n v="29.56"/>
        <n v="384.01"/>
        <n v="192.35"/>
        <n v="358.53"/>
        <n v="130.24"/>
        <n v="51.84"/>
        <n v="190.79"/>
        <n v="47.35"/>
        <n v="195.43"/>
        <n v="368.28"/>
        <n v="209.27"/>
        <n v="247.37"/>
        <n v="64.34"/>
        <n v="19.41"/>
        <n v="46.1"/>
        <n v="240.22"/>
        <n v="39.81"/>
        <n v="151.65"/>
        <n v="220.94"/>
        <n v="156.68"/>
        <n v="67.15"/>
        <n v="110.97"/>
        <n v="371.47"/>
        <n v="271.04"/>
        <n v="199.43"/>
        <n v="7.06"/>
        <n v="396.98"/>
        <n v="269.24"/>
        <n v="128.14"/>
        <n v="351.95"/>
        <n v="104.86"/>
        <n v="218.52"/>
        <n v="255.16"/>
        <n v="89.98"/>
        <n v="391.4"/>
        <n v="299.78"/>
        <n v="224.01"/>
        <n v="73.88"/>
        <n v="23.44"/>
        <n v="129.38"/>
        <n v="301.77"/>
        <n v="109.19"/>
        <n v="216.74"/>
        <n v="291.72"/>
        <n v="44.96"/>
        <n v="274.75"/>
        <n v="38.56"/>
        <n v="386.12"/>
        <n v="196.38"/>
        <n v="61.97"/>
        <n v="138.27"/>
        <n v="166.54"/>
        <n v="303.76"/>
        <n v="297.88"/>
        <n v="245.55"/>
        <n v="44.16"/>
        <n v="62.32"/>
        <n v="39.32"/>
        <n v="231.71"/>
        <n v="351.1"/>
        <n v="174.65"/>
        <n v="66.02"/>
        <n v="224.1"/>
        <n v="325.08"/>
        <n v="297.2"/>
        <n v="352.82"/>
        <n v="112.61"/>
        <n v="79.19"/>
        <n v="352.17"/>
        <n v="263.71"/>
        <n v="125.75"/>
        <n v="297.45"/>
        <n v="326.42"/>
        <n v="246.76"/>
        <n v="275.78"/>
        <n v="151.35"/>
        <n v="216.4"/>
        <n v="210.62"/>
        <n v="339.52"/>
        <n v="336.31"/>
        <n v="333.41"/>
        <n v="6.39"/>
        <n v="300.32"/>
        <n v="303.95"/>
        <n v="271.99"/>
        <n v="302.99"/>
        <n v="337.1"/>
        <n v="189.19"/>
        <n v="201.82"/>
        <n v="51.64"/>
        <n v="155.38"/>
        <n v="258.06"/>
        <n v="312.6"/>
        <n v="88.45"/>
        <n v="56.85"/>
        <n v="265.89"/>
        <n v="2.75"/>
        <n v="72.99"/>
        <n v="13.57"/>
        <n v="68.42"/>
        <n v="74.17"/>
        <n v="156.29"/>
        <n v="162.13"/>
        <n v="349.96"/>
        <n v="205.02"/>
        <n v="289.92"/>
        <n v="43.45"/>
        <n v="91.72"/>
        <n v="281.77"/>
        <n v="23.02"/>
        <n v="195.67"/>
        <n v="240.55"/>
        <n v="241.65"/>
        <n v="11.13"/>
        <n v="130.2"/>
        <n v="255.32"/>
        <n v="61.3"/>
        <n v="278.78"/>
        <n v="298.88"/>
        <n v="392.82"/>
        <n v="85.52"/>
        <n v="209.08"/>
        <n v="150.64"/>
        <n v="50.71"/>
        <n v="294.73"/>
        <n v="95.87"/>
        <n v="149.83"/>
        <n v="26.89"/>
        <n v="320.94"/>
        <n v="307.1"/>
        <n v="293.98"/>
        <n v="121.18"/>
        <n v="71.05"/>
        <n v="255.75"/>
        <n v="199.47"/>
        <n v="72.94"/>
        <n v="274.99"/>
        <n v="396.47"/>
        <n v="299.39"/>
        <n v="296.51"/>
        <n v="380.22"/>
        <n v="82.77"/>
        <n v="227.09"/>
        <n v="391.9"/>
        <n v="67.79"/>
        <n v="280.7"/>
        <n v="235.15"/>
        <n v="235.42"/>
        <n v="279.67"/>
        <n v="371.99"/>
        <n v="313.47"/>
        <n v="24.34"/>
        <n v="341.39"/>
        <n v="91.77"/>
        <n v="152.01"/>
        <n v="185.77"/>
        <n v="193.4"/>
        <n v="175.2"/>
        <n v="375.07"/>
        <n v="283.0"/>
        <n v="253.21"/>
        <n v="21.84"/>
        <n v="361.76"/>
        <n v="363.94"/>
        <n v="312.52"/>
        <n v="4.8"/>
        <n v="24.8"/>
        <n v="91.64"/>
        <n v="54.28"/>
        <n v="160.74"/>
        <n v="369.2"/>
        <n v="189.88"/>
        <n v="7.33"/>
        <n v="114.53"/>
        <n v="19.75"/>
        <n v="16.44"/>
        <n v="111.74"/>
        <n v="111.69"/>
        <n v="315.28"/>
      </sharedItems>
    </cacheField>
    <cacheField name="Total sales" numFmtId="0">
      <sharedItems containsString="0" containsBlank="1" containsNumber="1">
        <n v="35936.2"/>
        <n v="159560.72"/>
        <n v="84835.26"/>
        <n v="5661.539999999999"/>
        <n v="185396.88"/>
        <n v="15095.43"/>
        <n v="8322.52"/>
        <n v="89669.7"/>
        <n v="112610.96"/>
        <n v="135939.0"/>
        <n v="92355.0"/>
        <n v="116907.05"/>
        <n v="3347.61"/>
        <n v="40676.96000000001"/>
        <n v="10439.17"/>
        <n v="122597.23000000001"/>
        <n v="77654.2"/>
        <n v="130106.2"/>
        <n v="44814.4"/>
        <n v="30669.210000000003"/>
        <n v="68990.46"/>
        <n v="110073.62000000001"/>
        <n v="17177.32"/>
        <n v="141882.0"/>
        <n v="40637.1"/>
        <n v="12506.699999999999"/>
        <n v="24913.79"/>
        <m/>
        <n v="154333.9"/>
        <n v="15255.0"/>
        <n v="33644.189999999995"/>
        <n v="12209.33"/>
        <n v="14061.6"/>
        <n v="47674.130000000005"/>
        <n v="37336.86"/>
        <n v="75935.38"/>
        <n v="82098.9"/>
        <n v="31238.35"/>
        <n v="10332.630000000001"/>
        <n v="153872.07"/>
        <n v="15495.76"/>
        <n v="131364.0"/>
        <n v="62705.4"/>
        <n v="81631.14"/>
        <n v="70305.53"/>
        <n v="66620.25"/>
        <n v="3049.8"/>
        <n v="69269.1"/>
        <n v="53995.62"/>
        <n v="30387.87"/>
        <n v="143898.62"/>
        <n v="22387.64"/>
        <n v="33735.48"/>
        <n v="45544.63"/>
        <n v="32534.84"/>
        <n v="54210.0"/>
        <n v="87635.76000000001"/>
        <n v="22616.28"/>
        <n v="43088.88"/>
        <n v="73932.8"/>
        <n v="36807.77"/>
        <n v="110565.8"/>
        <n v="63622.0"/>
        <n v="31087.84"/>
        <n v="111516.94"/>
        <n v="41261.649999999994"/>
        <n v="627.52"/>
        <n v="31438.8"/>
        <n v="12983.24"/>
        <n v="11096.460000000001"/>
        <n v="96412.27"/>
        <n v="75286.98"/>
        <n v="13320.0"/>
        <n v="1668.8"/>
        <n v="142593.0"/>
        <n v="64282.53"/>
        <n v="159848.4"/>
        <n v="4223.62"/>
        <n v="49475.42"/>
        <n v="14465.28"/>
        <n v="85372.4"/>
        <n v="11132.03"/>
        <n v="44223.4"/>
        <n v="118131.48"/>
        <n v="48117.0"/>
        <n v="14515.939999999999"/>
        <n v="110390.04"/>
        <n v="23453.600000000002"/>
        <n v="104408.73"/>
        <n v="68968.0"/>
        <n v="10440.1"/>
        <n v="7150.0"/>
        <n v="29984.120000000003"/>
        <n v="23519.16"/>
        <n v="73747.08"/>
        <n v="4721.08"/>
        <n v="99294.20999999999"/>
        <n v="90941.68000000001"/>
        <n v="128563.71"/>
        <n v="44512.149999999994"/>
        <n v="197785.03"/>
        <n v="99291.84"/>
        <n v="101821.5"/>
        <n v="3770.2400000000002"/>
        <n v="165292.35"/>
        <n v="31354.120000000003"/>
        <n v="50510.43"/>
        <n v="14193.76"/>
        <n v="26709.4"/>
        <n v="28127.66"/>
        <n v="21927.63"/>
        <n v="23980.440000000002"/>
        <n v="18413.920000000002"/>
        <n v="123946.61000000002"/>
        <n v="23850.54"/>
        <n v="69384.8"/>
        <n v="56029.05"/>
        <n v="15849.300000000001"/>
        <n v="6609.599999999999"/>
        <n v="47340.649999999994"/>
        <n v="99769.4"/>
        <n v="120662.08000000002"/>
        <n v="47233.24"/>
        <n v="129787.18"/>
        <n v="43827.11"/>
        <n v="15330.72"/>
        <n v="14208.689999999999"/>
        <n v="1977.3"/>
        <n v="9874.41"/>
        <n v="152628.69999999998"/>
        <n v="35005.799999999996"/>
        <n v="39586.69"/>
        <n v="140469.08"/>
        <n v="16624.6"/>
        <n v="3754.41"/>
        <n v="232738.38"/>
        <n v="16948.02"/>
        <n v="72819.69"/>
        <n v="154167.30000000002"/>
        <n v="53088.12"/>
        <n v="2747.67"/>
        <n v="23156.399999999998"/>
        <n v="122386.31999999999"/>
        <n v="92224.74"/>
        <n v="66677.66"/>
        <n v="15857.4"/>
        <n v="94112.07999999999"/>
        <n v="204588.75"/>
        <n v="117897.0"/>
        <n v="220772.37"/>
        <n v="12735.699999999999"/>
        <n v="117446.84"/>
        <n v="7456.679999999999"/>
        <n v="11990.55"/>
        <n v="114473.2"/>
        <n v="14297.36"/>
        <n v="184403.25"/>
        <n v="220534.8"/>
        <n v="176646.6"/>
        <n v="3335.93"/>
        <n v="70992.0"/>
        <n v="2065.35"/>
        <n v="160557.0"/>
        <n v="168475.03"/>
        <n v="108854.34999999999"/>
        <n v="65238.6"/>
        <n v="5865.34"/>
        <n v="208351.44"/>
        <n v="17497.079999999998"/>
        <n v="176654.66"/>
        <n v="95098.08"/>
        <n v="7293.599999999999"/>
        <n v="91361.20000000001"/>
        <n v="64339.200000000004"/>
        <n v="93183.3"/>
        <n v="50940.42"/>
        <n v="23847.6"/>
        <n v="73651.11"/>
        <n v="82123.47"/>
        <n v="41736.14"/>
        <n v="50622.08"/>
        <n v="105970.29000000001"/>
        <n v="1140.18"/>
        <n v="9163.6"/>
        <n v="41361.84"/>
        <n v="11630.88"/>
        <n v="77699.52"/>
        <n v="87441.12"/>
        <n v="106926.77"/>
        <n v="116615.1"/>
        <n v="190533.15000000002"/>
        <n v="46212.55"/>
        <n v="1767.3"/>
        <n v="24570.0"/>
        <n v="125666.64"/>
        <n v="46408.799999999996"/>
        <n v="108913.92"/>
        <n v="18619.530000000002"/>
        <n v="75056.15999999999"/>
        <n v="58453.2"/>
        <n v="161626.5"/>
        <n v="121510.62"/>
        <n v="163183.68"/>
        <n v="58062.48"/>
        <n v="30074.29"/>
        <n v="15668.92"/>
        <n v="205828.36000000002"/>
        <n v="7897.68"/>
        <n v="33026.939999999995"/>
        <n v="46575.86"/>
        <n v="41658.4"/>
        <n v="33330.99"/>
        <n v="25325.7"/>
        <n v="89760.51"/>
        <n v="5542.53"/>
        <n v="95286.09999999999"/>
        <n v="130242.0"/>
        <n v="58257.990000000005"/>
        <n v="10532.16"/>
        <n v="24855.870000000003"/>
        <n v="89095.04999999999"/>
        <n v="235447.36000000002"/>
        <n v="63520.380000000005"/>
        <n v="26890.26"/>
        <n v="20988.0"/>
        <n v="7316.97"/>
        <n v="35278.32"/>
        <n v="3469.32"/>
        <n v="27662.28"/>
        <n v="23466.66"/>
        <n v="20111.52"/>
        <n v="181878.84"/>
        <n v="77020.12"/>
        <n v="21972.559999999998"/>
        <n v="178645.6"/>
        <n v="36079.1"/>
        <n v="8765.460000000001"/>
        <n v="19691.75"/>
        <n v="2430.36"/>
        <n v="127036.8"/>
        <n v="107384.12999999999"/>
        <n v="9549.599999999999"/>
        <n v="52661.34"/>
        <n v="21138.81"/>
        <n v="39469.700000000004"/>
        <n v="210386.88"/>
        <n v="109691.14000000001"/>
        <n v="32227.3"/>
        <n v="53927.48"/>
        <n v="7673.94"/>
        <n v="59038.0"/>
        <n v="178922.52000000002"/>
        <n v="174173.97"/>
        <n v="25944.8"/>
        <n v="47911.549999999996"/>
        <n v="10171.980000000001"/>
        <n v="47968.799999999996"/>
        <n v="153653.84"/>
        <n v="19365.48"/>
        <n v="109080.0"/>
        <n v="6813.09"/>
        <n v="34147.979999999996"/>
        <n v="25935.46"/>
        <n v="8671.86"/>
        <n v="91745.94"/>
        <n v="37401.28"/>
        <n v="154792.95"/>
        <n v="11166.259999999998"/>
        <n v="26087.460000000003"/>
        <n v="52837.5"/>
        <n v="31256.160000000003"/>
        <n v="59419.5"/>
        <n v="9189.74"/>
        <n v="4513.4"/>
        <n v="112728.4"/>
        <n v="45538.86"/>
        <n v="131758.06"/>
        <n v="68943.93000000001"/>
        <n v="125091.48000000001"/>
        <n v="25590.56"/>
        <n v="31468.74"/>
        <n v="14994.999999999998"/>
        <n v="83471.9"/>
        <n v="15864.4"/>
        <n v="67573.16"/>
        <n v="17076.95"/>
        <n v="37854.310000000005"/>
        <n v="196715.44"/>
        <n v="29944.05"/>
        <n v="12638.779999999999"/>
        <n v="30578.6"/>
        <n v="14061.22"/>
        <n v="58083.9"/>
        <n v="25163.86"/>
        <n v="100087.95"/>
        <n v="42164.25"/>
        <n v="7758.41"/>
        <n v="2031.26"/>
        <n v="116475.84"/>
        <n v="41169.04"/>
        <n v="137399.8"/>
        <n v="20701.62"/>
        <n v="204914.52"/>
        <n v="27460.66"/>
        <n v="47330.0"/>
        <n v="14570.57"/>
        <n v="86191.35"/>
        <n v="23993.76"/>
        <n v="83593.37000000001"/>
        <n v="56642.56"/>
        <n v="48580.29"/>
        <n v="43932.81"/>
        <n v="25459.85"/>
        <n v="9776.64"/>
        <n v="239220.11"/>
        <n v="1714.65"/>
        <n v="142041.59999999998"/>
        <n v="168446.02"/>
        <n v="39441.54"/>
        <n v="124507.98000000001"/>
        <n v="23868.0"/>
        <n v="43110.240000000005"/>
        <n v="181704.6"/>
        <n v="57158.64"/>
        <n v="122173.79999999999"/>
        <n v="4606.0199999999995"/>
        <n v="22726.06"/>
        <n v="2971.6800000000003"/>
        <n v="23272.32"/>
        <n v="27269.280000000002"/>
        <n v="74005.25"/>
      </sharedItems>
    </cacheField>
    <cacheField name="Profit" numFmtId="0">
      <sharedItems containsString="0" containsBlank="1" containsNumber="1">
        <n v="-159.8000000000016"/>
        <n v="111875.28000000001"/>
        <n v="67447.2"/>
        <n v="1973.8799999999994"/>
        <n v="29419.76000000002"/>
        <n v="9542.75"/>
        <n v="-4497.86"/>
        <n v="-4719.599999999989"/>
        <n v="85793.44"/>
        <n v="-6413.879999999999"/>
        <n v="38142.85"/>
        <n v="7479.550000000006"/>
        <n v="-17618.509999999995"/>
        <n v="-54412.16"/>
        <n v="2915.41"/>
        <n v="49532.26000000001"/>
        <n v="12155.000000000007"/>
        <n v="22498.939999999988"/>
        <n v="5237.35"/>
        <n v="2045.3400000000024"/>
        <n v="45057.93000000001"/>
        <n v="70084.31"/>
        <n v="2095.76"/>
        <n v="99511.75"/>
        <n v="38581.75"/>
        <n v="-17202.0"/>
        <n v="-1749.2099999999996"/>
        <m/>
        <n v="46201.00000000001"/>
        <n v="-18335.7"/>
        <n v="5241.029999999998"/>
        <n v="2763.109999999999"/>
        <n v="-25265.0"/>
        <n v="-9024.089999999998"/>
        <n v="18567.06"/>
        <n v="-52769.19999999999"/>
        <n v="57064.799999999996"/>
        <n v="9760.399999999998"/>
        <n v="-2759.68"/>
        <n v="135555.09"/>
        <n v="6071.1"/>
        <n v="58942.92"/>
        <n v="54383.22"/>
        <n v="-11088.579999999994"/>
        <n v="56601.060000000005"/>
        <n v="12950.999999999995"/>
        <n v="-55404.95999999999"/>
        <n v="-51718.95"/>
        <n v="34074.27"/>
        <n v="-4041.0099999999993"/>
        <n v="143127.56"/>
        <n v="21772.92"/>
        <n v="17291.72"/>
        <n v="-525.8400000000022"/>
        <n v="4800.66"/>
        <n v="-8798.7"/>
        <n v="58497.0"/>
        <n v="17957.159999999996"/>
        <n v="-25895.100000000002"/>
        <n v="16516.7"/>
        <n v="-7684.470000000001"/>
        <n v="66638.05"/>
        <n v="28968.0"/>
        <n v="19620.96"/>
        <n v="97854.24"/>
        <n v="-20499.82"/>
        <n v="-1094.4"/>
        <n v="21108.3"/>
        <n v="-54668.2"/>
        <n v="-2294.459999999999"/>
        <n v="14367.040000000006"/>
        <n v="51267.18"/>
        <n v="9536.4"/>
        <n v="-1207.36"/>
        <n v="111642.74999999999"/>
        <n v="-41698.41000000001"/>
        <n v="51864.240000000005"/>
        <n v="-137269.87999999998"/>
        <n v="22236.049999999996"/>
        <n v="1873.920000000001"/>
        <n v="24744.639999999992"/>
        <n v="-8082.620000000001"/>
        <n v="-26473.45"/>
        <n v="98800.68"/>
        <n v="14564.100000000002"/>
        <n v="-18645.660000000003"/>
        <n v="61338.05999999999"/>
        <n v="-27800.799999999996"/>
        <n v="-40887.72000000001"/>
        <n v="14518.230000000001"/>
        <n v="4433.4400000000005"/>
        <n v="2887.5"/>
        <n v="-10743.64"/>
        <n v="7567.66"/>
        <n v="-7093.02"/>
        <n v="-1842.8799999999999"/>
        <n v="69353.55"/>
        <n v="84510.64"/>
        <n v="121677.60000000002"/>
        <n v="14997.609999999999"/>
        <n v="148515.86000000002"/>
        <n v="7815.4199999999955"/>
        <n v="26748.480000000003"/>
        <n v="-14785.119999999999"/>
        <n v="144723.35"/>
        <n v="6302.240000000001"/>
        <n v="-95902.56"/>
        <n v="-31695.84"/>
        <n v="5014.8600000000015"/>
        <n v="-50437.63999999999"/>
        <n v="-35483.57000000001"/>
        <n v="-144977.56999999998"/>
        <n v="-33465.84"/>
        <n v="-37119.569999999985"/>
        <n v="20056.23"/>
        <n v="54709.759999999995"/>
        <n v="-4991.9100000000035"/>
        <n v="-1504.1999999999994"/>
        <n v="-150825.24"/>
        <n v="38038.979999999996"/>
        <n v="76565.45"/>
        <n v="-33085.429999999986"/>
        <n v="10151.320000000002"/>
        <n v="-24477.450000000015"/>
        <n v="-39103.28999999999"/>
        <n v="-20184.840000000004"/>
        <n v="-22202.460000000003"/>
        <n v="-423.28000000000003"/>
        <n v="2398.829999999999"/>
        <n v="77368.45"/>
        <n v="-109814.40000000001"/>
        <n v="21826.480000000003"/>
        <n v="-10942.309999999998"/>
        <n v="-19416.239999999998"/>
        <n v="3102.1699999999996"/>
        <n v="224464.59"/>
        <n v="-21621.690000000002"/>
        <n v="14937.989999999996"/>
        <n v="52973.55"/>
        <n v="40828.86"/>
        <n v="-500.49000000000007"/>
        <n v="-14455.04"/>
        <n v="76445.87999999999"/>
        <n v="52638.69"/>
        <n v="-1942.7899999999934"/>
        <n v="-85116.2"/>
        <n v="5130.6399999999885"/>
        <n v="64872.09999999999"/>
        <n v="62037.30000000001"/>
        <n v="142904.30000000002"/>
        <n v="98.7999999999987"/>
        <n v="105589.43999999999"/>
        <n v="280.1399999999995"/>
        <n v="7002.709999999999"/>
        <n v="36705.11999999999"/>
        <n v="-17361.52"/>
        <n v="51195.49999999999"/>
        <n v="179384.88"/>
        <n v="-6079.320000000004"/>
        <n v="-14593.940000000002"/>
        <n v="68040.0"/>
        <n v="-1562.4000000000003"/>
        <n v="108628.84000000001"/>
        <n v="155498.19"/>
        <n v="18611.999999999996"/>
        <n v="8687.700000000003"/>
        <n v="1204.4500000000005"/>
        <n v="146617.68"/>
        <n v="11898.359999999999"/>
        <n v="99193.92000000001"/>
        <n v="71517.78000000001"/>
        <n v="-2087.040000000001"/>
        <n v="-11757.199999999986"/>
        <n v="-16020.48"/>
        <n v="20456.519999999997"/>
        <n v="40259.98"/>
        <n v="22217.159999999996"/>
        <n v="56087.01"/>
        <n v="10778.129999999997"/>
        <n v="36202.549999999996"/>
        <n v="22718.48"/>
        <n v="1907.5500000000054"/>
        <n v="-13431.060000000001"/>
        <n v="7081.950000000001"/>
        <n v="-10572.12"/>
        <n v="-1742.0400000000016"/>
        <n v="22407.359999999993"/>
        <n v="18438.339999999997"/>
        <n v="104166.31000000001"/>
        <n v="19355.0"/>
        <n v="69644.39"/>
        <n v="33270.41"/>
        <n v="-1378.5"/>
        <n v="-43608.240000000005"/>
        <n v="4975.960000000005"/>
        <n v="13476.119999999997"/>
        <n v="-67998.87999999999"/>
        <n v="-9260.009999999997"/>
        <n v="14349.449999999997"/>
        <n v="46927.92"/>
        <n v="151078.5"/>
        <n v="61737.06"/>
        <n v="43682.76"/>
        <n v="29017.940000000002"/>
        <n v="15552.71"/>
        <n v="-97810.16"/>
        <n v="186450.6"/>
        <n v="1303.6799999999998"/>
        <n v="26433.179999999997"/>
        <n v="-128722.61999999998"/>
        <n v="7881.039999999999"/>
        <n v="12942.86"/>
        <n v="-14772.600000000004"/>
        <n v="41630.45"/>
        <n v="-836.4299999999996"/>
        <n v="10986.059999999998"/>
        <n v="61487.99999999999"/>
        <n v="48675.270000000004"/>
        <n v="8288.64"/>
        <n v="8867.880000000001"/>
        <n v="-65037.85000000001"/>
        <n v="151266.06000000003"/>
        <n v="53353.30000000001"/>
        <n v="4032.06"/>
        <n v="-82387.43999999999"/>
        <n v="2264.5700000000006"/>
        <n v="4230.16"/>
        <n v="-584.6399999999999"/>
        <n v="13170.51"/>
        <n v="2688.6299999999997"/>
        <n v="-34740.159999999996"/>
        <n v="132081.84"/>
        <n v="-29466.98"/>
        <n v="-127201.38000000002"/>
        <n v="70811.48000000001"/>
        <n v="-16319.099999999997"/>
        <n v="3770.9100000000003"/>
        <n v="-50638.25"/>
        <n v="-79079.58"/>
        <n v="-7413.119999999988"/>
        <n v="-31511.900000000005"/>
        <n v="9396.24"/>
        <n v="4009.5"/>
        <n v="-49073.64"/>
        <n v="-19008.149999999998"/>
        <n v="69799.52"/>
        <n v="35717.850000000006"/>
        <n v="-17218.6"/>
        <n v="35905.12"/>
        <n v="3028.8599999999997"/>
        <n v="4332.999999999998"/>
        <n v="139916.07"/>
        <n v="148420.91999999998"/>
        <n v="-61267.119999999995"/>
        <n v="47298.299999999996"/>
        <n v="975.2400000000011"/>
        <n v="42608.65"/>
        <n v="129501.57999999999"/>
        <n v="13357.710000000003"/>
        <n v="45938.840000000004"/>
        <n v="-5022.4"/>
        <n v="-40743.46"/>
        <n v="-18758.9"/>
        <n v="-14811.660000000002"/>
        <n v="79319.24"/>
        <n v="11444.519999999999"/>
        <n v="17570.96000000002"/>
        <n v="3592.6799999999994"/>
        <n v="-41810.02999999999"/>
        <n v="-37368.75"/>
        <n v="6124.560000000001"/>
        <n v="57471.75000000001"/>
        <n v="3851.54"/>
        <n v="-593.0000000000001"/>
        <n v="93725.4"/>
        <n v="1935.8399999999997"/>
        <n v="94642.37999999999"/>
        <n v="-63546.46999999999"/>
        <n v="67385.40000000001"/>
        <n v="16057.08"/>
        <n v="2879.93"/>
        <n v="10201.499999999998"/>
        <n v="22041.599999999995"/>
        <n v="13578.75"/>
        <n v="-56309.68"/>
        <n v="186.44999999999925"/>
        <n v="-11828.310000000001"/>
        <n v="139518.47999999998"/>
        <n v="23620.6"/>
        <n v="-68945.47"/>
        <n v="11628.949999999999"/>
        <n v="6694.28"/>
        <n v="-9316.000000000002"/>
        <n v="-38007.43"/>
        <n v="-28300.879999999994"/>
        <n v="-119429.25000000001"/>
        <n v="-13016.86"/>
        <n v="-2279.64"/>
        <n v="100612.98"/>
        <n v="-15737.26"/>
        <n v="26752.399999999994"/>
        <n v="-97598.79000000001"/>
        <n v="46446.77999999999"/>
        <n v="502.23999999999785"/>
        <n v="44287.5"/>
        <n v="-41076.0"/>
        <n v="48106.8"/>
        <n v="6968.639999999999"/>
        <n v="45882.060000000005"/>
        <n v="-7831.040000000001"/>
        <n v="11448.359999999999"/>
        <n v="-7856.190000000001"/>
        <n v="-7710.660000000002"/>
        <n v="6456.959999999998"/>
        <n v="61595.95"/>
        <n v="-40138.45"/>
        <n v="22033.92"/>
        <n v="166348.41999999998"/>
        <n v="31654.34"/>
        <n v="90692.82"/>
        <n v="-1535.0400000000004"/>
        <n v="-9291.0"/>
        <n v="11872.6"/>
        <n v="32094.48"/>
        <n v="119249.13"/>
        <n v="2544.4799999999996"/>
        <n v="17373.81"/>
        <n v="1623.6000000000001"/>
        <n v="-17847.999999999996"/>
        <n v="1357.200000000002"/>
        <n v="-59988.74999999999"/>
      </sharedItems>
    </cacheField>
    <cacheField name="Total orders" numFmtId="0">
      <sharedItems containsSemiMixedTypes="0" containsString="0" containsNumber="1" containsInteger="1">
        <n v="350.0"/>
        <n v="349.0"/>
        <n v="348.0"/>
        <n v="347.0"/>
        <n v="346.0"/>
        <n v="345.0"/>
        <n v="344.0"/>
        <n v="343.0"/>
        <n v="342.0"/>
        <n v="341.0"/>
        <n v="340.0"/>
        <n v="339.0"/>
        <n v="338.0"/>
        <n v="337.0"/>
        <n v="336.0"/>
        <n v="335.0"/>
        <n v="334.0"/>
        <n v="333.0"/>
        <n v="332.0"/>
        <n v="331.0"/>
        <n v="330.0"/>
        <n v="329.0"/>
        <n v="328.0"/>
        <n v="327.0"/>
        <n v="326.0"/>
        <n v="325.0"/>
        <n v="324.0"/>
        <n v="323.0"/>
        <n v="322.0"/>
        <n v="321.0"/>
        <n v="320.0"/>
        <n v="319.0"/>
        <n v="318.0"/>
        <n v="317.0"/>
        <n v="316.0"/>
        <n v="315.0"/>
        <n v="314.0"/>
        <n v="313.0"/>
        <n v="312.0"/>
        <n v="311.0"/>
        <n v="310.0"/>
        <n v="309.0"/>
        <n v="308.0"/>
        <n v="307.0"/>
        <n v="306.0"/>
        <n v="305.0"/>
        <n v="304.0"/>
        <n v="303.0"/>
        <n v="302.0"/>
        <n v="301.0"/>
        <n v="300.0"/>
        <n v="299.0"/>
        <n v="298.0"/>
        <n v="297.0"/>
        <n v="296.0"/>
        <n v="295.0"/>
        <n v="294.0"/>
        <n v="293.0"/>
        <n v="292.0"/>
        <n v="291.0"/>
        <n v="290.0"/>
        <n v="289.0"/>
        <n v="288.0"/>
        <n v="287.0"/>
        <n v="286.0"/>
        <n v="285.0"/>
        <n v="284.0"/>
        <n v="283.0"/>
        <n v="282.0"/>
        <n v="281.0"/>
        <n v="280.0"/>
        <n v="279.0"/>
        <n v="278.0"/>
        <n v="277.0"/>
        <n v="276.0"/>
        <n v="275.0"/>
        <n v="274.0"/>
        <n v="273.0"/>
        <n v="272.0"/>
        <n v="271.0"/>
        <n v="270.0"/>
        <n v="269.0"/>
        <n v="268.0"/>
        <n v="267.0"/>
        <n v="266.0"/>
        <n v="265.0"/>
        <n v="264.0"/>
        <n v="263.0"/>
        <n v="262.0"/>
        <n v="261.0"/>
        <n v="260.0"/>
        <n v="259.0"/>
        <n v="258.0"/>
        <n v="257.0"/>
        <n v="256.0"/>
        <n v="255.0"/>
        <n v="254.0"/>
        <n v="253.0"/>
        <n v="252.0"/>
        <n v="251.0"/>
        <n v="250.0"/>
        <n v="249.0"/>
        <n v="248.0"/>
        <n v="247.0"/>
        <n v="246.0"/>
        <n v="245.0"/>
        <n v="244.0"/>
        <n v="243.0"/>
        <n v="242.0"/>
        <n v="241.0"/>
        <n v="240.0"/>
        <n v="239.0"/>
        <n v="238.0"/>
        <n v="237.0"/>
        <n v="236.0"/>
        <n v="235.0"/>
        <n v="234.0"/>
        <n v="233.0"/>
        <n v="232.0"/>
        <n v="231.0"/>
        <n v="230.0"/>
        <n v="229.0"/>
        <n v="228.0"/>
        <n v="227.0"/>
        <n v="226.0"/>
        <n v="225.0"/>
        <n v="224.0"/>
        <n v="223.0"/>
        <n v="222.0"/>
        <n v="221.0"/>
        <n v="220.0"/>
        <n v="219.0"/>
        <n v="218.0"/>
        <n v="217.0"/>
        <n v="216.0"/>
        <n v="215.0"/>
        <n v="214.0"/>
        <n v="213.0"/>
        <n v="212.0"/>
        <n v="211.0"/>
        <n v="210.0"/>
        <n v="209.0"/>
        <n v="208.0"/>
        <n v="207.0"/>
        <n v="206.0"/>
        <n v="205.0"/>
        <n v="204.0"/>
        <n v="203.0"/>
        <n v="202.0"/>
        <n v="201.0"/>
        <n v="200.0"/>
        <n v="199.0"/>
        <n v="198.0"/>
        <n v="197.0"/>
        <n v="196.0"/>
        <n v="195.0"/>
        <n v="194.0"/>
        <n v="193.0"/>
        <n v="192.0"/>
        <n v="191.0"/>
        <n v="190.0"/>
        <n v="189.0"/>
        <n v="188.0"/>
        <n v="187.0"/>
        <n v="186.0"/>
        <n v="185.0"/>
        <n v="184.0"/>
        <n v="183.0"/>
        <n v="182.0"/>
        <n v="181.0"/>
        <n v="180.0"/>
        <n v="179.0"/>
        <n v="178.0"/>
        <n v="177.0"/>
        <n v="176.0"/>
        <n v="175.0"/>
        <n v="174.0"/>
        <n v="173.0"/>
        <n v="172.0"/>
        <n v="171.0"/>
        <n v="170.0"/>
        <n v="169.0"/>
        <n v="168.0"/>
        <n v="167.0"/>
        <n v="166.0"/>
        <n v="165.0"/>
        <n v="164.0"/>
        <n v="163.0"/>
        <n v="162.0"/>
        <n v="161.0"/>
        <n v="160.0"/>
        <n v="159.0"/>
        <n v="158.0"/>
        <n v="157.0"/>
        <n v="156.0"/>
        <n v="155.0"/>
        <n v="154.0"/>
        <n v="153.0"/>
        <n v="152.0"/>
        <n v="151.0"/>
        <n v="150.0"/>
        <n v="149.0"/>
        <n v="148.0"/>
        <n v="147.0"/>
        <n v="146.0"/>
        <n v="145.0"/>
        <n v="144.0"/>
        <n v="143.0"/>
        <n v="142.0"/>
        <n v="141.0"/>
        <n v="140.0"/>
        <n v="139.0"/>
        <n v="138.0"/>
        <n v="137.0"/>
        <n v="136.0"/>
        <n v="135.0"/>
        <n v="134.0"/>
        <n v="133.0"/>
        <n v="132.0"/>
        <n v="131.0"/>
        <n v="130.0"/>
        <n v="129.0"/>
        <n v="128.0"/>
        <n v="127.0"/>
        <n v="126.0"/>
        <n v="125.0"/>
        <n v="124.0"/>
        <n v="123.0"/>
        <n v="122.0"/>
        <n v="121.0"/>
        <n v="120.0"/>
        <n v="119.0"/>
        <n v="118.0"/>
        <n v="117.0"/>
        <n v="116.0"/>
        <n v="115.0"/>
        <n v="114.0"/>
        <n v="113.0"/>
        <n v="112.0"/>
        <n v="111.0"/>
        <n v="110.0"/>
        <n v="109.0"/>
        <n v="108.0"/>
        <n v="107.0"/>
        <n v="106.0"/>
        <n v="105.0"/>
        <n v="104.0"/>
        <n v="103.0"/>
        <n v="102.0"/>
        <n v="101.0"/>
        <n v="100.0"/>
        <n v="99.0"/>
        <n v="98.0"/>
        <n v="97.0"/>
        <n v="96.0"/>
        <n v="95.0"/>
        <n v="94.0"/>
        <n v="93.0"/>
        <n v="92.0"/>
        <n v="91.0"/>
        <n v="90.0"/>
        <n v="89.0"/>
        <n v="88.0"/>
        <n v="87.0"/>
        <n v="86.0"/>
        <n v="85.0"/>
        <n v="84.0"/>
        <n v="83.0"/>
        <n v="82.0"/>
        <n v="81.0"/>
        <n v="80.0"/>
        <n v="79.0"/>
        <n v="78.0"/>
        <n v="77.0"/>
        <n v="76.0"/>
        <n v="75.0"/>
        <n v="74.0"/>
        <n v="73.0"/>
        <n v="72.0"/>
        <n v="71.0"/>
        <n v="70.0"/>
        <n v="69.0"/>
        <n v="68.0"/>
        <n v="67.0"/>
        <n v="66.0"/>
        <n v="65.0"/>
        <n v="64.0"/>
        <n v="63.0"/>
        <n v="62.0"/>
        <n v="61.0"/>
        <n v="60.0"/>
        <n v="59.0"/>
        <n v="58.0"/>
        <n v="57.0"/>
        <n v="56.0"/>
        <n v="55.0"/>
        <n v="54.0"/>
        <n v="53.0"/>
        <n v="52.0"/>
        <n v="51.0"/>
        <n v="50.0"/>
        <n v="49.0"/>
        <n v="48.0"/>
        <n v="47.0"/>
        <n v="46.0"/>
        <n v="45.0"/>
        <n v="44.0"/>
        <n v="43.0"/>
        <n v="42.0"/>
        <n v="41.0"/>
        <n v="40.0"/>
        <n v="39.0"/>
        <n v="38.0"/>
        <n v="37.0"/>
        <n v="36.0"/>
        <n v="35.0"/>
        <n v="34.0"/>
        <n v="33.0"/>
        <n v="32.0"/>
        <n v="31.0"/>
        <n v="30.0"/>
        <n v="29.0"/>
        <n v="28.0"/>
        <n v="27.0"/>
        <n v="26.0"/>
        <n v="25.0"/>
        <n v="24.0"/>
        <n v="23.0"/>
        <n v="22.0"/>
        <n v="21.0"/>
        <n v="20.0"/>
        <n v="19.0"/>
        <n v="18.0"/>
        <n v="17.0"/>
        <n v="16.0"/>
        <n v="15.0"/>
        <n v="14.0"/>
        <n v="13.0"/>
        <n v="12.0"/>
        <n v="11.0"/>
        <n v="10.0"/>
        <n v="9.0"/>
        <n v="8.0"/>
        <n v="7.0"/>
        <n v="6.0"/>
        <n v="5.0"/>
        <n v="4.0"/>
        <n v="3.0"/>
        <n v="2.0"/>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 Table 1" cacheId="0" dataCaption="" rowGrandTotals="0" compact="0" compactData="0">
  <location ref="A1:B6" firstHeaderRow="0" firstDataRow="1" firstDataCol="0"/>
  <pivotFields>
    <pivotField name="Answer" compact="0" outline="0" multipleItemSelectionAllowed="1" showAll="0">
      <items>
        <item x="0"/>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Row" compact="0" outline="0" multipleItemSelectionAllowed="1" showAll="0" sortType="ascending">
      <items>
        <item x="3"/>
        <item x="0"/>
        <item x="2"/>
        <item x="4"/>
        <item x="1"/>
        <item t="default"/>
      </items>
    </pivotField>
    <pivotField name="Country" compact="0" outline="0" multipleItemSelectionAllowed="1" showAll="0">
      <items>
        <item x="0"/>
        <item x="1"/>
        <item x="2"/>
        <item x="3"/>
        <item x="4"/>
        <item t="default"/>
      </items>
    </pivotField>
    <pivotField name="Category" compact="0" outline="0" multipleItemSelectionAllowed="1" showAll="0">
      <items>
        <item x="0"/>
        <item x="1"/>
        <item x="2"/>
        <item x="3"/>
        <item x="4"/>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s>
  <rowFields>
    <field x="2"/>
  </rowFields>
  <dataFields>
    <dataField name="AVERAGE of Profit" fld="11" subtotal="average" baseField="0"/>
  </dataFields>
</pivotTableDefinition>
</file>

<file path=xl/pivotTables/pivotTable2.xml><?xml version="1.0" encoding="utf-8"?>
<pivotTableDefinition xmlns="http://schemas.openxmlformats.org/spreadsheetml/2006/main" name="Pivot Table 2" cacheId="1" dataCaption="" compact="0" compactData="0">
  <location ref="A1:H8" firstHeaderRow="0" firstDataRow="1" firstDataCol="1"/>
  <pivotFields>
    <pivotField name="Answer" compact="0" outline="0" multipleItemSelectionAllowed="1" showAll="0">
      <items>
        <item x="0"/>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Row" compact="0" outline="0" multipleItemSelectionAllowed="1" showAll="0" sortType="ascending">
      <items>
        <item x="3"/>
        <item x="0"/>
        <item x="2"/>
        <item x="4"/>
        <item x="1"/>
        <item t="default"/>
      </items>
    </pivotField>
    <pivotField name="Country" compact="0" outline="0" multipleItemSelectionAllowed="1" showAll="0">
      <items>
        <item x="0"/>
        <item x="1"/>
        <item x="2"/>
        <item x="3"/>
        <item x="4"/>
        <item t="default"/>
      </items>
    </pivotField>
    <pivotField name="Category" axis="axisCol" compact="0" outline="0" multipleItemSelectionAllowed="1" showAll="0" sortType="ascending">
      <items>
        <item x="5"/>
        <item x="0"/>
        <item x="2"/>
        <item x="4"/>
        <item x="1"/>
        <item x="3"/>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s>
  <rowFields>
    <field x="2"/>
  </rowFields>
  <colFields>
    <field x="4"/>
  </colFields>
  <dataFields>
    <dataField name="SUM of Total sales" fld="11" baseField="0"/>
  </dataFields>
</pivotTableDefinition>
</file>

<file path=xl/pivotTables/pivotTable3.xml><?xml version="1.0" encoding="utf-8"?>
<pivotTableDefinition xmlns="http://schemas.openxmlformats.org/spreadsheetml/2006/main" name="Pivot Table 3" cacheId="2" dataCaption="" compact="0" compactData="0">
  <location ref="A1:P9" firstHeaderRow="0" firstDataRow="2" firstDataCol="1"/>
  <pivotFields>
    <pivotField name="Answer" compact="0" outline="0" multipleItemSelectionAllowed="1" showAll="0">
      <items>
        <item x="0"/>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Col" compact="0" outline="0" multipleItemSelectionAllowed="1" showAll="0" sortType="ascending">
      <items>
        <item h="1" x="3"/>
        <item x="0"/>
        <item x="2"/>
        <item x="4"/>
        <item x="1"/>
        <item t="default"/>
      </items>
    </pivotField>
    <pivotField name="Country" compact="0" outline="0" multipleItemSelectionAllowed="1" showAll="0">
      <items>
        <item x="0"/>
        <item x="1"/>
        <item x="2"/>
        <item x="3"/>
        <item x="4"/>
        <item t="default"/>
      </items>
    </pivotField>
    <pivotField name="Category" axis="axisRow" compact="0" outline="0" multipleItemSelectionAllowed="1" showAll="0" sortType="ascending">
      <items>
        <item h="1" x="5"/>
        <item x="0"/>
        <item x="2"/>
        <item x="4"/>
        <item x="1"/>
        <item x="3"/>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Total orde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4"/>
  </rowFields>
  <colFields>
    <field x="2"/>
    <field x="-2"/>
  </colFields>
  <dataFields>
    <dataField name="SUM of Total sales" fld="11" baseField="0"/>
    <dataField name="SUM of Profit" fld="12" baseField="0"/>
    <dataField name="COUNT of Total orders" fld="13" subtotal="countNums" baseField="0"/>
  </dataFields>
</pivotTableDefinition>
</file>

<file path=xl/pivotTables/pivotTable4.xml><?xml version="1.0" encoding="utf-8"?>
<pivotTableDefinition xmlns="http://schemas.openxmlformats.org/spreadsheetml/2006/main" name="Pivot Table 4" cacheId="2" dataCaption="" rowGrandTotals="0" compact="0" compactData="0">
  <location ref="A3:B7" firstHeaderRow="0" firstDataRow="1" firstDataCol="0" rowPageCount="1" colPageCount="1"/>
  <pivotFields>
    <pivotField name="Answer" compact="0" outline="0" multipleItemSelectionAllowed="1" showAll="0">
      <items>
        <item x="0"/>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Row" compact="0" outline="0" multipleItemSelectionAllowed="1" showAll="0" sortType="ascending">
      <items>
        <item h="1" x="3"/>
        <item x="0"/>
        <item x="2"/>
        <item x="4"/>
        <item x="1"/>
        <item t="default"/>
      </items>
    </pivotField>
    <pivotField name="Country" compact="0" outline="0" multipleItemSelectionAllowed="1" showAll="0">
      <items>
        <item x="0"/>
        <item x="1"/>
        <item x="2"/>
        <item x="3"/>
        <item x="4"/>
        <item t="default"/>
      </items>
    </pivotField>
    <pivotField name="Category" axis="axisPage" compact="0" outline="0" multipleItemSelectionAllowed="1" showAll="0">
      <items>
        <item x="0"/>
        <item x="1"/>
        <item x="2"/>
        <item x="3"/>
        <item x="4"/>
        <item h="1"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Total ord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2"/>
  </rowFields>
  <pageFields>
    <pageField fld="4"/>
  </pageFields>
  <dataFields>
    <dataField name="AVERAGE of Profit" fld="12" subtotal="average" baseField="0"/>
  </dataFields>
</pivotTableDefinition>
</file>

<file path=xl/pivotTables/pivotTable5.xml><?xml version="1.0" encoding="utf-8"?>
<pivotTableDefinition xmlns="http://schemas.openxmlformats.org/spreadsheetml/2006/main" name="Pivot Table 5" cacheId="2" dataCaption="" rowGrandTotals="0" compact="0" compactData="0">
  <location ref="A3:B7" firstHeaderRow="0" firstDataRow="1" firstDataCol="0" rowPageCount="1" colPageCount="1"/>
  <pivotFields>
    <pivotField name="Answer" compact="0" outline="0" multipleItemSelectionAllowed="1" showAll="0">
      <items>
        <item x="0"/>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Row" compact="0" outline="0" multipleItemSelectionAllowed="1" showAll="0" sortType="ascending">
      <items>
        <item h="1" x="3"/>
        <item x="0"/>
        <item x="2"/>
        <item x="4"/>
        <item x="1"/>
        <item t="default"/>
      </items>
    </pivotField>
    <pivotField name="Country" compact="0" outline="0" multipleItemSelectionAllowed="1" showAll="0">
      <items>
        <item x="0"/>
        <item x="1"/>
        <item x="2"/>
        <item x="3"/>
        <item x="4"/>
        <item t="default"/>
      </items>
    </pivotField>
    <pivotField name="Category" axis="axisPage" compact="0" outline="0" multipleItemSelectionAllowed="1" showAll="0">
      <items>
        <item x="0"/>
        <item x="1"/>
        <item x="2"/>
        <item x="3"/>
        <item x="4"/>
        <item h="1"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Total ord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2"/>
  </rowFields>
  <pageFields>
    <pageField fld="4"/>
  </pageFields>
  <dataFields>
    <dataField name="SUM of Total sales" fld="11" baseField="0"/>
  </dataFields>
</pivotTableDefinition>
</file>

<file path=xl/pivotTables/pivotTable6.xml><?xml version="1.0" encoding="utf-8"?>
<pivotTableDefinition xmlns="http://schemas.openxmlformats.org/spreadsheetml/2006/main" name="Pivot Table 6" cacheId="2" dataCaption="" rowGrandTotals="0" compact="0" compactData="0">
  <location ref="A3:B8" firstHeaderRow="0" firstDataRow="1" firstDataCol="0" rowPageCount="1" colPageCount="1"/>
  <pivotFields>
    <pivotField name="Answer" compact="0" outline="0" multipleItemSelectionAllowed="1" showAll="0">
      <items>
        <item x="0"/>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Page" compact="0" outline="0" multipleItemSelectionAllowed="1" showAll="0">
      <items>
        <item x="0"/>
        <item x="1"/>
        <item x="2"/>
        <item h="1" x="3"/>
        <item x="4"/>
        <item t="default"/>
      </items>
    </pivotField>
    <pivotField name="Country" compact="0" outline="0" multipleItemSelectionAllowed="1" showAll="0">
      <items>
        <item x="0"/>
        <item x="1"/>
        <item x="2"/>
        <item x="3"/>
        <item x="4"/>
        <item t="default"/>
      </items>
    </pivotField>
    <pivotField name="Category" axis="axisRow" compact="0" outline="0" multipleItemSelectionAllowed="1" showAll="0" sortType="ascending">
      <items>
        <item h="1" x="5"/>
        <item x="0"/>
        <item x="2"/>
        <item x="4"/>
        <item x="1"/>
        <item x="3"/>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Total ord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4"/>
  </rowFields>
  <pageFields>
    <pageField fld="2"/>
  </pageFields>
  <dataFields>
    <dataField name="SUM of Total sales" fld="11" baseField="0"/>
  </dataFields>
</pivotTableDefinition>
</file>

<file path=xl/pivotTables/pivotTable7.xml><?xml version="1.0" encoding="utf-8"?>
<pivotTableDefinition xmlns="http://schemas.openxmlformats.org/spreadsheetml/2006/main" name="DASH BOARD" cacheId="2" dataCaption="" rowGrandTotals="0" compact="0" compactData="0">
  <location ref="B29:C33" firstHeaderRow="0" firstDataRow="1" firstDataCol="0" rowPageCount="1" colPageCount="1"/>
  <pivotFields>
    <pivotField name="Answer" compact="0" outline="0" multipleItemSelectionAllowed="1" showAll="0">
      <items>
        <item x="0"/>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Row" compact="0" outline="0" multipleItemSelectionAllowed="1" showAll="0" sortType="ascending">
      <items>
        <item h="1" x="3"/>
        <item x="0"/>
        <item x="2"/>
        <item x="4"/>
        <item x="1"/>
        <item t="default"/>
      </items>
    </pivotField>
    <pivotField name="Country" compact="0" outline="0" multipleItemSelectionAllowed="1" showAll="0">
      <items>
        <item x="0"/>
        <item x="1"/>
        <item x="2"/>
        <item x="3"/>
        <item x="4"/>
        <item t="default"/>
      </items>
    </pivotField>
    <pivotField name="Category" axis="axisPage" compact="0" outline="0" multipleItemSelectionAllowed="1" showAll="0">
      <items>
        <item x="0"/>
        <item x="1"/>
        <item x="2"/>
        <item x="3"/>
        <item x="4"/>
        <item h="1"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Total ord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2"/>
  </rowFields>
  <pageFields>
    <pageField fld="4"/>
  </pageFields>
  <dataFields>
    <dataField name="SUM of Total sales" fld="11" baseField="0"/>
  </dataFields>
</pivotTableDefinition>
</file>

<file path=xl/pivotTables/pivotTable8.xml><?xml version="1.0" encoding="utf-8"?>
<pivotTableDefinition xmlns="http://schemas.openxmlformats.org/spreadsheetml/2006/main" name="DASH BOARD 2" cacheId="2" dataCaption="" rowGrandTotals="0" compact="0" compactData="0">
  <location ref="F29:G33" firstHeaderRow="0" firstDataRow="1" firstDataCol="0" rowPageCount="1" colPageCount="1"/>
  <pivotFields>
    <pivotField name="Answer" compact="0" outline="0" multipleItemSelectionAllowed="1" showAll="0">
      <items>
        <item x="0"/>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Row" compact="0" outline="0" multipleItemSelectionAllowed="1" showAll="0" sortType="ascending">
      <items>
        <item h="1" x="3"/>
        <item x="0"/>
        <item x="2"/>
        <item x="4"/>
        <item x="1"/>
        <item t="default"/>
      </items>
    </pivotField>
    <pivotField name="Country" compact="0" outline="0" multipleItemSelectionAllowed="1" showAll="0">
      <items>
        <item x="0"/>
        <item x="1"/>
        <item x="2"/>
        <item x="3"/>
        <item x="4"/>
        <item t="default"/>
      </items>
    </pivotField>
    <pivotField name="Category" axis="axisPage" compact="0" outline="0" multipleItemSelectionAllowed="1" showAll="0">
      <items>
        <item x="0"/>
        <item x="1"/>
        <item x="2"/>
        <item x="3"/>
        <item x="4"/>
        <item h="1"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Total ord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2"/>
  </rowFields>
  <pageFields>
    <pageField fld="4"/>
  </pageFields>
  <dataFields>
    <dataField name="AVERAGE of Profit" fld="12" subtotal="average" baseField="0"/>
  </dataFields>
</pivotTableDefinition>
</file>

<file path=xl/pivotTables/pivotTable9.xml><?xml version="1.0" encoding="utf-8"?>
<pivotTableDefinition xmlns="http://schemas.openxmlformats.org/spreadsheetml/2006/main" name="DASH BOARD 3" cacheId="2" dataCaption="" rowGrandTotals="0" compact="0" compactData="0">
  <location ref="L29:M34" firstHeaderRow="0" firstDataRow="1" firstDataCol="0" rowPageCount="1" colPageCount="1"/>
  <pivotFields>
    <pivotField name="Answer" compact="0" outline="0" multipleItemSelectionAllowed="1" showAll="0">
      <items>
        <item x="0"/>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Page" compact="0" outline="0" multipleItemSelectionAllowed="1" showAll="0">
      <items>
        <item x="0"/>
        <item x="1"/>
        <item x="2"/>
        <item h="1" x="3"/>
        <item x="4"/>
        <item t="default"/>
      </items>
    </pivotField>
    <pivotField name="Country" compact="0" outline="0" multipleItemSelectionAllowed="1" showAll="0">
      <items>
        <item x="0"/>
        <item x="1"/>
        <item x="2"/>
        <item x="3"/>
        <item x="4"/>
        <item t="default"/>
      </items>
    </pivotField>
    <pivotField name="Category" axis="axisRow" compact="0" outline="0" multipleItemSelectionAllowed="1" showAll="0" sortType="ascending">
      <items>
        <item h="1" x="5"/>
        <item x="0"/>
        <item x="2"/>
        <item x="4"/>
        <item x="1"/>
        <item x="3"/>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Total ord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4"/>
  </rowFields>
  <pageFields>
    <pageField fld="2"/>
  </pageFields>
  <dataFields>
    <dataField name="SUM of Total sales" fld="11"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Region">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Region">
  <x14:extLst>
    <ext uri="{2F2917AC-EB37-4324-AD4E-5DD8C200BD13}">
      <x15:tableSlicerCache tableId="2"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4" sourceName="Category">
  <x14:extLst>
    <ext uri="{2F2917AC-EB37-4324-AD4E-5DD8C200BD13}">
      <x15:tableSlicerCache tableId="2"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3" caption="Regio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2" cache="SlicerCache_Table_2_Col_2" caption="Region" rowHeight="247650"/>
  <x14:slicer name="Category_3" cache="SlicerCache_Table_2_Col_4" caption="Category" rowHeight="247650"/>
</x14:slicers>
</file>

<file path=xl/tables/table1.xml><?xml version="1.0" encoding="utf-8"?>
<table xmlns="http://schemas.openxmlformats.org/spreadsheetml/2006/main" ref="A5:L355" displayName="Table_1" name="Table_1" id="1">
  <autoFilter ref="$A$5:$L$355"/>
  <tableColumns count="12">
    <tableColumn name="Answer" id="1"/>
    <tableColumn name="Order ID" id="2"/>
    <tableColumn name="Region" id="3"/>
    <tableColumn name="Country" id="4"/>
    <tableColumn name="Category" id="5"/>
    <tableColumn name="Sales Channel" id="6"/>
    <tableColumn name="Order Priority" id="7"/>
    <tableColumn name="Order Date" id="8"/>
    <tableColumn name="Units Sold" id="9"/>
    <tableColumn name="Unit Price" id="10"/>
    <tableColumn name="Unit Cost" id="11"/>
    <tableColumn name="Profit" id="12"/>
  </tableColumns>
  <tableStyleInfo showColumnStripes="0" showFirstColumn="0" showLastColumn="0" showRowStripes="0"/>
</table>
</file>

<file path=xl/tables/table2.xml><?xml version="1.0" encoding="utf-8"?>
<table xmlns="http://schemas.openxmlformats.org/spreadsheetml/2006/main" ref="B5:L355" displayName="Table_2" name="Table_2" id="2">
  <autoFilter ref="$B$5:$L$355"/>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sales" id="1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 Id="rId3"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9.xml"/><Relationship Id="rId3"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pivotTable" Target="../pivotTables/pivotTable8.xml"/><Relationship Id="rId3" Type="http://schemas.openxmlformats.org/officeDocument/2006/relationships/pivotTable" Target="../pivotTables/pivotTable9.xm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13" max="13" width="18.63"/>
  </cols>
  <sheetData>
    <row r="3">
      <c r="A3" s="1" t="s">
        <v>0</v>
      </c>
      <c r="B3" s="2" t="s">
        <v>1</v>
      </c>
      <c r="C3" s="1"/>
      <c r="D3" s="1"/>
      <c r="E3" s="1"/>
      <c r="F3" s="1"/>
      <c r="G3" s="3"/>
      <c r="H3" s="3"/>
    </row>
    <row r="5">
      <c r="B5" s="4" t="s">
        <v>2</v>
      </c>
      <c r="C5" s="4" t="s">
        <v>3</v>
      </c>
      <c r="D5" s="4" t="s">
        <v>4</v>
      </c>
      <c r="E5" s="4" t="s">
        <v>5</v>
      </c>
      <c r="F5" s="4" t="s">
        <v>6</v>
      </c>
      <c r="G5" s="4" t="s">
        <v>7</v>
      </c>
      <c r="H5" s="4" t="s">
        <v>8</v>
      </c>
      <c r="I5" s="4" t="s">
        <v>9</v>
      </c>
      <c r="J5" s="4" t="s">
        <v>10</v>
      </c>
      <c r="K5" s="4" t="s">
        <v>11</v>
      </c>
    </row>
    <row r="6">
      <c r="A6" s="5" t="s">
        <v>12</v>
      </c>
      <c r="B6" s="6" t="s">
        <v>13</v>
      </c>
      <c r="C6" s="6" t="s">
        <v>14</v>
      </c>
      <c r="D6" s="6" t="s">
        <v>15</v>
      </c>
      <c r="E6" s="6" t="s">
        <v>16</v>
      </c>
      <c r="F6" s="6" t="s">
        <v>17</v>
      </c>
      <c r="G6" s="6" t="s">
        <v>18</v>
      </c>
      <c r="H6" s="7">
        <v>44927.0</v>
      </c>
      <c r="I6" s="8">
        <v>235.0</v>
      </c>
      <c r="J6" s="8">
        <v>152.92</v>
      </c>
      <c r="K6" s="8">
        <v>153.6</v>
      </c>
      <c r="M6" s="9"/>
      <c r="N6" s="9"/>
      <c r="O6" s="9"/>
      <c r="P6" s="9"/>
      <c r="Q6" s="9"/>
      <c r="R6" s="10"/>
    </row>
    <row r="7">
      <c r="B7" s="6" t="s">
        <v>19</v>
      </c>
      <c r="C7" s="6" t="s">
        <v>20</v>
      </c>
      <c r="D7" s="6" t="s">
        <v>21</v>
      </c>
      <c r="E7" s="6" t="s">
        <v>22</v>
      </c>
      <c r="F7" s="6" t="s">
        <v>17</v>
      </c>
      <c r="G7" s="6" t="s">
        <v>23</v>
      </c>
      <c r="H7" s="7">
        <v>44928.0</v>
      </c>
      <c r="I7" s="8">
        <v>341.0</v>
      </c>
      <c r="J7" s="8">
        <v>467.92</v>
      </c>
      <c r="K7" s="8">
        <v>139.84</v>
      </c>
      <c r="M7" s="11" t="s">
        <v>24</v>
      </c>
      <c r="N7" s="12"/>
      <c r="O7" s="12"/>
      <c r="P7" s="12"/>
      <c r="Q7" s="12"/>
      <c r="R7" s="10"/>
    </row>
    <row r="8">
      <c r="B8" s="6" t="s">
        <v>25</v>
      </c>
      <c r="C8" s="6" t="s">
        <v>26</v>
      </c>
      <c r="D8" s="6" t="s">
        <v>21</v>
      </c>
      <c r="E8" s="6" t="s">
        <v>27</v>
      </c>
      <c r="F8" s="6" t="s">
        <v>28</v>
      </c>
      <c r="G8" s="6" t="s">
        <v>18</v>
      </c>
      <c r="H8" s="7">
        <v>44929.0</v>
      </c>
      <c r="I8" s="8">
        <v>179.0</v>
      </c>
      <c r="J8" s="8">
        <v>473.94</v>
      </c>
      <c r="K8" s="8">
        <v>97.14</v>
      </c>
      <c r="M8" s="11" t="s">
        <v>29</v>
      </c>
      <c r="N8" s="12"/>
      <c r="O8" s="12"/>
      <c r="P8" s="12"/>
      <c r="Q8" s="12"/>
      <c r="R8" s="10"/>
    </row>
    <row r="9">
      <c r="B9" s="6" t="s">
        <v>30</v>
      </c>
      <c r="C9" s="6" t="s">
        <v>14</v>
      </c>
      <c r="D9" s="6" t="s">
        <v>31</v>
      </c>
      <c r="E9" s="6" t="s">
        <v>32</v>
      </c>
      <c r="F9" s="6" t="s">
        <v>28</v>
      </c>
      <c r="G9" s="6" t="s">
        <v>33</v>
      </c>
      <c r="H9" s="7">
        <v>44930.0</v>
      </c>
      <c r="I9" s="8">
        <v>18.0</v>
      </c>
      <c r="J9" s="8">
        <v>314.53</v>
      </c>
      <c r="K9" s="8">
        <v>204.87</v>
      </c>
      <c r="M9" s="11" t="s">
        <v>34</v>
      </c>
      <c r="N9" s="11" t="s">
        <v>35</v>
      </c>
      <c r="O9" s="12"/>
      <c r="P9" s="12"/>
      <c r="Q9" s="12"/>
      <c r="R9" s="10"/>
    </row>
    <row r="10">
      <c r="B10" s="6" t="s">
        <v>36</v>
      </c>
      <c r="C10" s="6" t="s">
        <v>14</v>
      </c>
      <c r="D10" s="6" t="s">
        <v>21</v>
      </c>
      <c r="E10" s="6" t="s">
        <v>32</v>
      </c>
      <c r="F10" s="6" t="s">
        <v>28</v>
      </c>
      <c r="G10" s="6" t="s">
        <v>33</v>
      </c>
      <c r="H10" s="7">
        <v>44931.0</v>
      </c>
      <c r="I10" s="8">
        <v>472.0</v>
      </c>
      <c r="J10" s="8">
        <v>392.79</v>
      </c>
      <c r="K10" s="8">
        <v>330.46</v>
      </c>
      <c r="M10" s="11" t="s">
        <v>37</v>
      </c>
      <c r="N10" s="11" t="s">
        <v>35</v>
      </c>
      <c r="O10" s="12"/>
      <c r="P10" s="12"/>
      <c r="Q10" s="12"/>
      <c r="R10" s="10"/>
    </row>
    <row r="11">
      <c r="B11" s="6" t="s">
        <v>38</v>
      </c>
      <c r="C11" s="6" t="s">
        <v>20</v>
      </c>
      <c r="D11" s="6" t="s">
        <v>39</v>
      </c>
      <c r="E11" s="6" t="s">
        <v>27</v>
      </c>
      <c r="F11" s="6" t="s">
        <v>17</v>
      </c>
      <c r="G11" s="6" t="s">
        <v>18</v>
      </c>
      <c r="H11" s="7">
        <v>44932.0</v>
      </c>
      <c r="I11" s="8">
        <v>49.0</v>
      </c>
      <c r="J11" s="8">
        <v>308.07</v>
      </c>
      <c r="K11" s="8">
        <v>113.32</v>
      </c>
      <c r="M11" s="11" t="s">
        <v>40</v>
      </c>
      <c r="N11" s="11" t="s">
        <v>41</v>
      </c>
      <c r="O11" s="12"/>
      <c r="P11" s="12"/>
      <c r="Q11" s="12"/>
      <c r="R11" s="10"/>
    </row>
    <row r="12">
      <c r="B12" s="6" t="s">
        <v>42</v>
      </c>
      <c r="C12" s="6" t="s">
        <v>26</v>
      </c>
      <c r="D12" s="6" t="s">
        <v>15</v>
      </c>
      <c r="E12" s="6" t="s">
        <v>27</v>
      </c>
      <c r="F12" s="6" t="s">
        <v>17</v>
      </c>
      <c r="G12" s="6" t="s">
        <v>23</v>
      </c>
      <c r="H12" s="7">
        <v>44933.0</v>
      </c>
      <c r="I12" s="8">
        <v>34.0</v>
      </c>
      <c r="J12" s="8">
        <v>244.78</v>
      </c>
      <c r="K12" s="8">
        <v>377.07</v>
      </c>
      <c r="M12" s="11" t="s">
        <v>43</v>
      </c>
      <c r="N12" s="11" t="s">
        <v>41</v>
      </c>
      <c r="O12" s="12"/>
      <c r="P12" s="12"/>
      <c r="Q12" s="12"/>
      <c r="R12" s="10"/>
    </row>
    <row r="13">
      <c r="B13" s="6" t="s">
        <v>44</v>
      </c>
      <c r="C13" s="6" t="s">
        <v>26</v>
      </c>
      <c r="D13" s="6" t="s">
        <v>21</v>
      </c>
      <c r="E13" s="6" t="s">
        <v>16</v>
      </c>
      <c r="F13" s="6" t="s">
        <v>17</v>
      </c>
      <c r="G13" s="6" t="s">
        <v>18</v>
      </c>
      <c r="H13" s="7">
        <v>44934.0</v>
      </c>
      <c r="I13" s="8">
        <v>270.0</v>
      </c>
      <c r="J13" s="8">
        <v>332.11</v>
      </c>
      <c r="K13" s="8">
        <v>349.59</v>
      </c>
      <c r="M13" s="12"/>
      <c r="N13" s="12"/>
      <c r="O13" s="12"/>
      <c r="P13" s="12"/>
      <c r="Q13" s="12"/>
      <c r="R13" s="10"/>
    </row>
    <row r="14">
      <c r="B14" s="6" t="s">
        <v>45</v>
      </c>
      <c r="C14" s="6" t="s">
        <v>14</v>
      </c>
      <c r="D14" s="6" t="s">
        <v>21</v>
      </c>
      <c r="E14" s="6" t="s">
        <v>16</v>
      </c>
      <c r="F14" s="6" t="s">
        <v>17</v>
      </c>
      <c r="G14" s="6" t="s">
        <v>23</v>
      </c>
      <c r="H14" s="7">
        <v>44935.0</v>
      </c>
      <c r="I14" s="8">
        <v>404.0</v>
      </c>
      <c r="J14" s="8">
        <v>278.74</v>
      </c>
      <c r="K14" s="8">
        <v>66.38</v>
      </c>
      <c r="M14" s="11" t="s">
        <v>46</v>
      </c>
      <c r="N14" s="12"/>
      <c r="O14" s="12"/>
      <c r="P14" s="12"/>
      <c r="Q14" s="12"/>
      <c r="R14" s="10"/>
    </row>
    <row r="15">
      <c r="B15" s="6" t="s">
        <v>47</v>
      </c>
      <c r="C15" s="6"/>
      <c r="D15" s="6" t="s">
        <v>31</v>
      </c>
      <c r="E15" s="6" t="s">
        <v>32</v>
      </c>
      <c r="F15" s="6" t="s">
        <v>17</v>
      </c>
      <c r="G15" s="6" t="s">
        <v>33</v>
      </c>
      <c r="H15" s="7">
        <v>44936.0</v>
      </c>
      <c r="I15" s="8">
        <v>452.0</v>
      </c>
      <c r="J15" s="8">
        <v>300.75</v>
      </c>
      <c r="K15" s="8">
        <v>314.94</v>
      </c>
      <c r="M15" s="11" t="s">
        <v>48</v>
      </c>
      <c r="N15" s="12"/>
      <c r="O15" s="12"/>
      <c r="P15" s="12"/>
      <c r="Q15" s="12"/>
      <c r="R15" s="10"/>
    </row>
    <row r="16">
      <c r="B16" s="6" t="s">
        <v>49</v>
      </c>
      <c r="C16" s="6" t="s">
        <v>14</v>
      </c>
      <c r="D16" s="6" t="s">
        <v>31</v>
      </c>
      <c r="E16" s="6" t="s">
        <v>22</v>
      </c>
      <c r="F16" s="6" t="s">
        <v>17</v>
      </c>
      <c r="G16" s="6" t="s">
        <v>23</v>
      </c>
      <c r="H16" s="7">
        <v>44937.0</v>
      </c>
      <c r="I16" s="8">
        <v>235.0</v>
      </c>
      <c r="J16" s="8">
        <v>393.0</v>
      </c>
      <c r="K16" s="8">
        <v>230.69</v>
      </c>
      <c r="M16" s="9"/>
      <c r="N16" s="9"/>
      <c r="O16" s="9"/>
      <c r="P16" s="9"/>
      <c r="Q16" s="9"/>
      <c r="R16" s="10"/>
    </row>
    <row r="17">
      <c r="B17" s="6" t="s">
        <v>50</v>
      </c>
      <c r="C17" s="6" t="s">
        <v>14</v>
      </c>
      <c r="D17" s="6" t="s">
        <v>39</v>
      </c>
      <c r="E17" s="6" t="s">
        <v>32</v>
      </c>
      <c r="F17" s="6" t="s">
        <v>28</v>
      </c>
      <c r="G17" s="6" t="s">
        <v>33</v>
      </c>
      <c r="H17" s="7">
        <v>44938.0</v>
      </c>
      <c r="I17" s="8">
        <v>481.0</v>
      </c>
      <c r="J17" s="8">
        <v>243.05</v>
      </c>
      <c r="K17" s="8">
        <v>227.5</v>
      </c>
      <c r="M17" s="13"/>
      <c r="N17" s="13"/>
      <c r="O17" s="13"/>
      <c r="P17" s="13"/>
      <c r="Q17" s="13"/>
    </row>
    <row r="18">
      <c r="B18" s="6" t="s">
        <v>51</v>
      </c>
      <c r="C18" s="6" t="s">
        <v>14</v>
      </c>
      <c r="D18" s="6" t="s">
        <v>15</v>
      </c>
      <c r="E18" s="6" t="s">
        <v>22</v>
      </c>
      <c r="F18" s="6" t="s">
        <v>28</v>
      </c>
      <c r="G18" s="6" t="s">
        <v>23</v>
      </c>
      <c r="H18" s="7">
        <v>44939.0</v>
      </c>
      <c r="I18" s="8">
        <v>133.0</v>
      </c>
      <c r="J18" s="8">
        <v>25.17</v>
      </c>
      <c r="K18" s="8">
        <v>157.64</v>
      </c>
    </row>
    <row r="19">
      <c r="B19" s="6" t="s">
        <v>52</v>
      </c>
      <c r="C19" s="6" t="s">
        <v>14</v>
      </c>
      <c r="D19" s="6" t="s">
        <v>31</v>
      </c>
      <c r="E19" s="6" t="s">
        <v>22</v>
      </c>
      <c r="F19" s="6" t="s">
        <v>28</v>
      </c>
      <c r="G19" s="6" t="s">
        <v>23</v>
      </c>
      <c r="H19" s="7">
        <v>44940.0</v>
      </c>
      <c r="I19" s="8">
        <v>472.0</v>
      </c>
      <c r="J19" s="8">
        <v>86.18</v>
      </c>
      <c r="K19" s="8">
        <v>201.46</v>
      </c>
    </row>
    <row r="20">
      <c r="B20" s="6" t="s">
        <v>53</v>
      </c>
      <c r="C20" s="6" t="s">
        <v>20</v>
      </c>
      <c r="D20" s="6" t="s">
        <v>21</v>
      </c>
      <c r="E20" s="6" t="s">
        <v>16</v>
      </c>
      <c r="F20" s="6" t="s">
        <v>28</v>
      </c>
      <c r="G20" s="6" t="s">
        <v>23</v>
      </c>
      <c r="H20" s="7">
        <v>44941.0</v>
      </c>
      <c r="I20" s="8">
        <v>47.0</v>
      </c>
      <c r="J20" s="8">
        <v>222.11</v>
      </c>
      <c r="K20" s="8">
        <v>160.08</v>
      </c>
    </row>
    <row r="21">
      <c r="B21" s="6" t="s">
        <v>54</v>
      </c>
      <c r="C21" s="6" t="s">
        <v>26</v>
      </c>
      <c r="D21" s="6" t="s">
        <v>15</v>
      </c>
      <c r="E21" s="6" t="s">
        <v>55</v>
      </c>
      <c r="F21" s="6" t="s">
        <v>17</v>
      </c>
      <c r="G21" s="6" t="s">
        <v>18</v>
      </c>
      <c r="H21" s="7">
        <v>44942.0</v>
      </c>
      <c r="I21" s="8">
        <v>337.0</v>
      </c>
      <c r="J21" s="8">
        <v>363.79</v>
      </c>
      <c r="K21" s="8">
        <v>216.81</v>
      </c>
    </row>
    <row r="22">
      <c r="B22" s="6" t="s">
        <v>56</v>
      </c>
      <c r="C22" s="6" t="s">
        <v>20</v>
      </c>
      <c r="D22" s="6" t="s">
        <v>15</v>
      </c>
      <c r="E22" s="6" t="s">
        <v>55</v>
      </c>
      <c r="F22" s="6" t="s">
        <v>17</v>
      </c>
      <c r="G22" s="6" t="s">
        <v>18</v>
      </c>
      <c r="H22" s="7">
        <v>44943.0</v>
      </c>
      <c r="I22" s="8">
        <v>260.0</v>
      </c>
      <c r="J22" s="8">
        <v>298.67</v>
      </c>
      <c r="K22" s="8">
        <v>251.92</v>
      </c>
    </row>
    <row r="23">
      <c r="B23" s="6" t="s">
        <v>57</v>
      </c>
      <c r="C23" s="6"/>
      <c r="D23" s="6" t="s">
        <v>21</v>
      </c>
      <c r="E23" s="6" t="s">
        <v>27</v>
      </c>
      <c r="F23" s="6" t="s">
        <v>28</v>
      </c>
      <c r="G23" s="6" t="s">
        <v>33</v>
      </c>
      <c r="H23" s="7">
        <v>44944.0</v>
      </c>
      <c r="I23" s="8">
        <v>398.0</v>
      </c>
      <c r="J23" s="8">
        <v>326.9</v>
      </c>
      <c r="K23" s="8">
        <v>270.37</v>
      </c>
    </row>
    <row r="24">
      <c r="B24" s="6" t="s">
        <v>58</v>
      </c>
      <c r="C24" s="6" t="s">
        <v>20</v>
      </c>
      <c r="D24" s="6" t="s">
        <v>31</v>
      </c>
      <c r="E24" s="6" t="s">
        <v>16</v>
      </c>
      <c r="F24" s="6" t="s">
        <v>17</v>
      </c>
      <c r="G24" s="6" t="s">
        <v>33</v>
      </c>
      <c r="H24" s="7">
        <v>44945.0</v>
      </c>
      <c r="I24" s="8">
        <v>185.0</v>
      </c>
      <c r="J24" s="8">
        <v>242.24</v>
      </c>
      <c r="K24" s="8">
        <v>213.93</v>
      </c>
    </row>
    <row r="25">
      <c r="B25" s="6" t="s">
        <v>59</v>
      </c>
      <c r="C25" s="6" t="s">
        <v>14</v>
      </c>
      <c r="D25" s="6" t="s">
        <v>21</v>
      </c>
      <c r="E25" s="6" t="s">
        <v>22</v>
      </c>
      <c r="F25" s="6" t="s">
        <v>28</v>
      </c>
      <c r="G25" s="6" t="s">
        <v>18</v>
      </c>
      <c r="H25" s="7">
        <v>44946.0</v>
      </c>
      <c r="I25" s="8">
        <v>99.0</v>
      </c>
      <c r="J25" s="8">
        <v>309.79</v>
      </c>
      <c r="K25" s="8">
        <v>289.13</v>
      </c>
    </row>
    <row r="26">
      <c r="B26" s="6" t="s">
        <v>60</v>
      </c>
      <c r="C26" s="6" t="s">
        <v>61</v>
      </c>
      <c r="D26" s="6" t="s">
        <v>15</v>
      </c>
      <c r="E26" s="6" t="s">
        <v>55</v>
      </c>
      <c r="F26" s="6" t="s">
        <v>28</v>
      </c>
      <c r="G26" s="6" t="s">
        <v>33</v>
      </c>
      <c r="H26" s="7">
        <v>44947.0</v>
      </c>
      <c r="I26" s="8">
        <v>411.0</v>
      </c>
      <c r="J26" s="8">
        <v>167.86</v>
      </c>
      <c r="K26" s="8">
        <v>58.23</v>
      </c>
    </row>
    <row r="27">
      <c r="B27" s="6" t="s">
        <v>62</v>
      </c>
      <c r="C27" s="6" t="s">
        <v>26</v>
      </c>
      <c r="D27" s="6" t="s">
        <v>63</v>
      </c>
      <c r="E27" s="6" t="s">
        <v>22</v>
      </c>
      <c r="F27" s="6" t="s">
        <v>28</v>
      </c>
      <c r="G27" s="6" t="s">
        <v>18</v>
      </c>
      <c r="H27" s="7">
        <v>44948.0</v>
      </c>
      <c r="I27" s="8">
        <v>463.0</v>
      </c>
      <c r="J27" s="8">
        <v>237.74</v>
      </c>
      <c r="K27" s="8">
        <v>86.37</v>
      </c>
    </row>
    <row r="28">
      <c r="B28" s="6" t="s">
        <v>64</v>
      </c>
      <c r="C28" s="6" t="s">
        <v>61</v>
      </c>
      <c r="D28" s="6" t="s">
        <v>63</v>
      </c>
      <c r="E28" s="6" t="s">
        <v>55</v>
      </c>
      <c r="F28" s="6" t="s">
        <v>17</v>
      </c>
      <c r="G28" s="6" t="s">
        <v>23</v>
      </c>
      <c r="H28" s="7">
        <v>44949.0</v>
      </c>
      <c r="I28" s="8">
        <v>46.0</v>
      </c>
      <c r="J28" s="8">
        <v>373.42</v>
      </c>
      <c r="K28" s="8">
        <v>327.86</v>
      </c>
    </row>
    <row r="29">
      <c r="B29" s="6" t="s">
        <v>65</v>
      </c>
      <c r="C29" s="6" t="s">
        <v>20</v>
      </c>
      <c r="D29" s="6" t="s">
        <v>39</v>
      </c>
      <c r="E29" s="6" t="s">
        <v>55</v>
      </c>
      <c r="F29" s="6" t="s">
        <v>28</v>
      </c>
      <c r="G29" s="6" t="s">
        <v>33</v>
      </c>
      <c r="H29" s="7">
        <v>44950.0</v>
      </c>
      <c r="I29" s="8">
        <v>325.0</v>
      </c>
      <c r="J29" s="8">
        <v>436.56</v>
      </c>
      <c r="K29" s="8">
        <v>130.37</v>
      </c>
    </row>
    <row r="30">
      <c r="B30" s="6" t="s">
        <v>66</v>
      </c>
      <c r="C30" s="6" t="s">
        <v>20</v>
      </c>
      <c r="D30" s="6" t="s">
        <v>21</v>
      </c>
      <c r="E30" s="6"/>
      <c r="F30" s="6" t="s">
        <v>28</v>
      </c>
      <c r="G30" s="6" t="s">
        <v>33</v>
      </c>
      <c r="H30" s="7">
        <v>44951.0</v>
      </c>
      <c r="I30" s="8">
        <v>185.0</v>
      </c>
      <c r="J30" s="8">
        <v>219.66</v>
      </c>
      <c r="K30" s="8">
        <v>11.11</v>
      </c>
    </row>
    <row r="31">
      <c r="B31" s="6" t="s">
        <v>67</v>
      </c>
      <c r="C31" s="6" t="s">
        <v>61</v>
      </c>
      <c r="D31" s="6" t="s">
        <v>21</v>
      </c>
      <c r="E31" s="6" t="s">
        <v>16</v>
      </c>
      <c r="F31" s="6" t="s">
        <v>28</v>
      </c>
      <c r="G31" s="6" t="s">
        <v>18</v>
      </c>
      <c r="H31" s="7">
        <v>44952.0</v>
      </c>
      <c r="I31" s="8">
        <v>470.0</v>
      </c>
      <c r="J31" s="8">
        <v>26.61</v>
      </c>
      <c r="K31" s="8">
        <v>63.21</v>
      </c>
    </row>
    <row r="32">
      <c r="B32" s="6" t="s">
        <v>68</v>
      </c>
      <c r="C32" s="6" t="s">
        <v>61</v>
      </c>
      <c r="D32" s="6" t="s">
        <v>39</v>
      </c>
      <c r="E32" s="6" t="s">
        <v>32</v>
      </c>
      <c r="F32" s="6" t="s">
        <v>17</v>
      </c>
      <c r="G32" s="6" t="s">
        <v>33</v>
      </c>
      <c r="H32" s="7">
        <v>44953.0</v>
      </c>
      <c r="I32" s="8">
        <v>293.0</v>
      </c>
      <c r="J32" s="8">
        <v>85.03</v>
      </c>
      <c r="K32" s="8">
        <v>91.0</v>
      </c>
    </row>
    <row r="33">
      <c r="B33" s="6" t="s">
        <v>69</v>
      </c>
      <c r="C33" s="6" t="s">
        <v>61</v>
      </c>
      <c r="D33" s="6" t="s">
        <v>39</v>
      </c>
      <c r="E33" s="6" t="s">
        <v>22</v>
      </c>
      <c r="F33" s="6" t="s">
        <v>17</v>
      </c>
      <c r="G33" s="6" t="s">
        <v>33</v>
      </c>
      <c r="H33" s="7">
        <v>44954.0</v>
      </c>
      <c r="I33" s="8">
        <v>462.0</v>
      </c>
      <c r="J33" s="6"/>
      <c r="K33" s="8">
        <v>383.01</v>
      </c>
    </row>
    <row r="34">
      <c r="B34" s="6" t="s">
        <v>70</v>
      </c>
      <c r="C34" s="6" t="s">
        <v>20</v>
      </c>
      <c r="D34" s="6" t="s">
        <v>39</v>
      </c>
      <c r="E34" s="6" t="s">
        <v>16</v>
      </c>
      <c r="F34" s="6" t="s">
        <v>28</v>
      </c>
      <c r="G34" s="6" t="s">
        <v>23</v>
      </c>
      <c r="H34" s="7">
        <v>44955.0</v>
      </c>
      <c r="I34" s="8">
        <v>470.0</v>
      </c>
      <c r="J34" s="8">
        <v>328.37</v>
      </c>
      <c r="K34" s="8">
        <v>230.07</v>
      </c>
    </row>
    <row r="35">
      <c r="B35" s="6" t="s">
        <v>71</v>
      </c>
      <c r="C35" s="6" t="s">
        <v>20</v>
      </c>
      <c r="D35" s="6" t="s">
        <v>15</v>
      </c>
      <c r="E35" s="6" t="s">
        <v>16</v>
      </c>
      <c r="F35" s="6" t="s">
        <v>17</v>
      </c>
      <c r="G35" s="6" t="s">
        <v>33</v>
      </c>
      <c r="H35" s="7">
        <v>44956.0</v>
      </c>
      <c r="I35" s="8">
        <v>90.0</v>
      </c>
      <c r="J35" s="8">
        <v>169.5</v>
      </c>
      <c r="K35" s="8">
        <v>373.23</v>
      </c>
    </row>
    <row r="36">
      <c r="B36" s="6" t="s">
        <v>72</v>
      </c>
      <c r="C36" s="6"/>
      <c r="D36" s="6" t="s">
        <v>21</v>
      </c>
      <c r="E36" s="6" t="s">
        <v>16</v>
      </c>
      <c r="F36" s="6" t="s">
        <v>17</v>
      </c>
      <c r="G36" s="6" t="s">
        <v>23</v>
      </c>
      <c r="H36" s="7">
        <v>44957.0</v>
      </c>
      <c r="I36" s="8">
        <v>123.0</v>
      </c>
      <c r="J36" s="8">
        <v>273.53</v>
      </c>
      <c r="K36" s="8">
        <v>230.92</v>
      </c>
    </row>
    <row r="37">
      <c r="B37" s="6" t="s">
        <v>73</v>
      </c>
      <c r="C37" s="6" t="s">
        <v>26</v>
      </c>
      <c r="D37" s="6" t="s">
        <v>15</v>
      </c>
      <c r="E37" s="6" t="s">
        <v>16</v>
      </c>
      <c r="F37" s="6" t="s">
        <v>17</v>
      </c>
      <c r="G37" s="6" t="s">
        <v>18</v>
      </c>
      <c r="H37" s="7">
        <v>44958.0</v>
      </c>
      <c r="I37" s="8">
        <v>49.0</v>
      </c>
      <c r="J37" s="8">
        <v>249.17</v>
      </c>
      <c r="K37" s="8">
        <v>192.78</v>
      </c>
    </row>
    <row r="38">
      <c r="B38" s="6" t="s">
        <v>74</v>
      </c>
      <c r="C38" s="6" t="s">
        <v>20</v>
      </c>
      <c r="D38" s="6" t="s">
        <v>39</v>
      </c>
      <c r="E38" s="6" t="s">
        <v>16</v>
      </c>
      <c r="F38" s="6" t="s">
        <v>17</v>
      </c>
      <c r="G38" s="6" t="s">
        <v>33</v>
      </c>
      <c r="H38" s="7">
        <v>44959.0</v>
      </c>
      <c r="I38" s="8">
        <v>310.0</v>
      </c>
      <c r="J38" s="8">
        <v>45.36</v>
      </c>
      <c r="K38" s="8">
        <v>126.86</v>
      </c>
    </row>
    <row r="39">
      <c r="B39" s="6" t="s">
        <v>75</v>
      </c>
      <c r="C39" s="6" t="s">
        <v>61</v>
      </c>
      <c r="D39" s="6" t="s">
        <v>21</v>
      </c>
      <c r="E39" s="6" t="s">
        <v>27</v>
      </c>
      <c r="F39" s="6" t="s">
        <v>17</v>
      </c>
      <c r="G39" s="6" t="s">
        <v>23</v>
      </c>
      <c r="H39" s="7">
        <v>44960.0</v>
      </c>
      <c r="I39" s="8">
        <v>233.0</v>
      </c>
      <c r="J39" s="8">
        <v>204.61</v>
      </c>
      <c r="K39" s="8">
        <v>243.34</v>
      </c>
    </row>
    <row r="40">
      <c r="B40" s="6" t="s">
        <v>76</v>
      </c>
      <c r="C40" s="6" t="s">
        <v>61</v>
      </c>
      <c r="D40" s="6" t="s">
        <v>15</v>
      </c>
      <c r="E40" s="6" t="s">
        <v>22</v>
      </c>
      <c r="F40" s="6" t="s">
        <v>17</v>
      </c>
      <c r="G40" s="6" t="s">
        <v>18</v>
      </c>
      <c r="H40" s="7">
        <v>44961.0</v>
      </c>
      <c r="I40" s="8">
        <v>327.0</v>
      </c>
      <c r="J40" s="8">
        <v>114.18</v>
      </c>
      <c r="K40" s="8">
        <v>57.4</v>
      </c>
    </row>
    <row r="41">
      <c r="B41" s="6" t="s">
        <v>77</v>
      </c>
      <c r="C41" s="6" t="s">
        <v>26</v>
      </c>
      <c r="D41" s="6" t="s">
        <v>15</v>
      </c>
      <c r="E41" s="6" t="s">
        <v>16</v>
      </c>
      <c r="F41" s="6" t="s">
        <v>17</v>
      </c>
      <c r="G41" s="6" t="s">
        <v>33</v>
      </c>
      <c r="H41" s="7">
        <v>44962.0</v>
      </c>
      <c r="I41" s="8">
        <v>358.0</v>
      </c>
      <c r="J41" s="8">
        <v>212.11</v>
      </c>
      <c r="K41" s="8">
        <v>359.51</v>
      </c>
    </row>
    <row r="42">
      <c r="B42" s="6" t="s">
        <v>78</v>
      </c>
      <c r="C42" s="6" t="s">
        <v>20</v>
      </c>
      <c r="D42" s="6" t="s">
        <v>39</v>
      </c>
      <c r="E42" s="6" t="s">
        <v>22</v>
      </c>
      <c r="F42" s="6" t="s">
        <v>17</v>
      </c>
      <c r="G42" s="6" t="s">
        <v>18</v>
      </c>
      <c r="H42" s="7">
        <v>44963.0</v>
      </c>
      <c r="I42" s="8">
        <v>124.0</v>
      </c>
      <c r="J42" s="6"/>
      <c r="K42" s="8">
        <v>332.07</v>
      </c>
    </row>
    <row r="43">
      <c r="B43" s="6" t="s">
        <v>79</v>
      </c>
      <c r="C43" s="6" t="s">
        <v>26</v>
      </c>
      <c r="D43" s="6" t="s">
        <v>21</v>
      </c>
      <c r="E43" s="6" t="s">
        <v>27</v>
      </c>
      <c r="F43" s="6" t="s">
        <v>17</v>
      </c>
      <c r="G43" s="6" t="s">
        <v>33</v>
      </c>
      <c r="H43" s="7">
        <v>44964.0</v>
      </c>
      <c r="I43" s="8">
        <v>195.0</v>
      </c>
      <c r="J43" s="8">
        <v>421.02</v>
      </c>
      <c r="K43" s="8">
        <v>128.38</v>
      </c>
    </row>
    <row r="44">
      <c r="B44" s="6" t="s">
        <v>80</v>
      </c>
      <c r="C44" s="6" t="s">
        <v>26</v>
      </c>
      <c r="D44" s="6" t="s">
        <v>39</v>
      </c>
      <c r="E44" s="6" t="s">
        <v>27</v>
      </c>
      <c r="F44" s="6" t="s">
        <v>17</v>
      </c>
      <c r="G44" s="6" t="s">
        <v>18</v>
      </c>
      <c r="H44" s="7">
        <v>44965.0</v>
      </c>
      <c r="I44" s="6"/>
      <c r="J44" s="8">
        <v>91.23</v>
      </c>
      <c r="K44" s="8">
        <v>381.21</v>
      </c>
    </row>
    <row r="45">
      <c r="B45" s="6" t="s">
        <v>81</v>
      </c>
      <c r="C45" s="6" t="s">
        <v>14</v>
      </c>
      <c r="D45" s="6" t="s">
        <v>21</v>
      </c>
      <c r="E45" s="6" t="s">
        <v>22</v>
      </c>
      <c r="F45" s="6" t="s">
        <v>28</v>
      </c>
      <c r="G45" s="6" t="s">
        <v>18</v>
      </c>
      <c r="H45" s="7">
        <v>44966.0</v>
      </c>
      <c r="I45" s="8">
        <v>65.0</v>
      </c>
      <c r="J45" s="8">
        <v>480.59</v>
      </c>
      <c r="K45" s="8">
        <v>330.43</v>
      </c>
    </row>
    <row r="46">
      <c r="B46" s="6" t="s">
        <v>82</v>
      </c>
      <c r="C46" s="6" t="s">
        <v>14</v>
      </c>
      <c r="D46" s="6" t="s">
        <v>63</v>
      </c>
      <c r="E46" s="6" t="s">
        <v>55</v>
      </c>
      <c r="F46" s="6" t="s">
        <v>28</v>
      </c>
      <c r="G46" s="6" t="s">
        <v>23</v>
      </c>
      <c r="H46" s="7">
        <v>44967.0</v>
      </c>
      <c r="I46" s="8">
        <v>49.0</v>
      </c>
      <c r="J46" s="8">
        <v>210.87</v>
      </c>
      <c r="K46" s="8">
        <v>267.19</v>
      </c>
    </row>
    <row r="47">
      <c r="B47" s="6" t="s">
        <v>83</v>
      </c>
      <c r="C47" s="6" t="s">
        <v>14</v>
      </c>
      <c r="D47" s="6" t="s">
        <v>31</v>
      </c>
      <c r="E47" s="6" t="s">
        <v>32</v>
      </c>
      <c r="F47" s="6" t="s">
        <v>17</v>
      </c>
      <c r="G47" s="6" t="s">
        <v>18</v>
      </c>
      <c r="H47" s="7">
        <v>44968.0</v>
      </c>
      <c r="I47" s="8">
        <v>363.0</v>
      </c>
      <c r="J47" s="8">
        <v>423.89</v>
      </c>
      <c r="K47" s="8">
        <v>50.46</v>
      </c>
    </row>
    <row r="48">
      <c r="B48" s="6" t="s">
        <v>84</v>
      </c>
      <c r="C48" s="6" t="s">
        <v>61</v>
      </c>
      <c r="D48" s="6" t="s">
        <v>31</v>
      </c>
      <c r="E48" s="6" t="s">
        <v>55</v>
      </c>
      <c r="F48" s="6" t="s">
        <v>28</v>
      </c>
      <c r="G48" s="6" t="s">
        <v>33</v>
      </c>
      <c r="H48" s="7">
        <v>44969.0</v>
      </c>
      <c r="I48" s="8">
        <v>49.0</v>
      </c>
      <c r="J48" s="8">
        <v>316.24</v>
      </c>
      <c r="K48" s="8">
        <v>192.34</v>
      </c>
    </row>
    <row r="49">
      <c r="B49" s="6" t="s">
        <v>85</v>
      </c>
      <c r="C49" s="6" t="s">
        <v>20</v>
      </c>
      <c r="D49" s="6" t="s">
        <v>31</v>
      </c>
      <c r="E49" s="6" t="s">
        <v>55</v>
      </c>
      <c r="F49" s="6" t="s">
        <v>28</v>
      </c>
      <c r="G49" s="6" t="s">
        <v>33</v>
      </c>
      <c r="H49" s="7">
        <v>44970.0</v>
      </c>
      <c r="I49" s="8">
        <v>356.0</v>
      </c>
      <c r="J49" s="8">
        <v>369.0</v>
      </c>
      <c r="K49" s="8">
        <v>203.43</v>
      </c>
    </row>
    <row r="50">
      <c r="B50" s="6" t="s">
        <v>86</v>
      </c>
      <c r="C50" s="6" t="s">
        <v>20</v>
      </c>
      <c r="D50" s="6" t="s">
        <v>39</v>
      </c>
      <c r="E50" s="6" t="s">
        <v>55</v>
      </c>
      <c r="F50" s="6" t="s">
        <v>17</v>
      </c>
      <c r="G50" s="6" t="s">
        <v>23</v>
      </c>
      <c r="H50" s="7">
        <v>44971.0</v>
      </c>
      <c r="I50" s="8">
        <v>470.0</v>
      </c>
      <c r="J50" s="6"/>
      <c r="K50" s="8">
        <v>94.56</v>
      </c>
    </row>
    <row r="51">
      <c r="B51" s="6" t="s">
        <v>87</v>
      </c>
      <c r="C51" s="6" t="s">
        <v>20</v>
      </c>
      <c r="D51" s="6" t="s">
        <v>63</v>
      </c>
      <c r="E51" s="6" t="s">
        <v>16</v>
      </c>
      <c r="F51" s="6" t="s">
        <v>17</v>
      </c>
      <c r="G51" s="6" t="s">
        <v>33</v>
      </c>
      <c r="H51" s="7">
        <v>44972.0</v>
      </c>
      <c r="I51" s="8">
        <v>246.0</v>
      </c>
      <c r="J51" s="8">
        <v>254.9</v>
      </c>
      <c r="K51" s="8">
        <v>33.83</v>
      </c>
    </row>
    <row r="52">
      <c r="B52" s="6" t="s">
        <v>88</v>
      </c>
      <c r="C52" s="6" t="s">
        <v>20</v>
      </c>
      <c r="D52" s="6" t="s">
        <v>21</v>
      </c>
      <c r="E52" s="6" t="s">
        <v>27</v>
      </c>
      <c r="F52" s="6" t="s">
        <v>17</v>
      </c>
      <c r="G52" s="6" t="s">
        <v>33</v>
      </c>
      <c r="H52" s="7">
        <v>44973.0</v>
      </c>
      <c r="I52" s="8">
        <v>298.0</v>
      </c>
      <c r="J52" s="8">
        <v>273.93</v>
      </c>
      <c r="K52" s="8">
        <v>311.14</v>
      </c>
    </row>
    <row r="53">
      <c r="B53" s="6" t="s">
        <v>89</v>
      </c>
      <c r="C53" s="6" t="s">
        <v>14</v>
      </c>
      <c r="D53" s="6" t="s">
        <v>15</v>
      </c>
      <c r="E53" s="6" t="s">
        <v>55</v>
      </c>
      <c r="F53" s="6" t="s">
        <v>28</v>
      </c>
      <c r="G53" s="6" t="s">
        <v>33</v>
      </c>
      <c r="H53" s="7">
        <v>44974.0</v>
      </c>
      <c r="I53" s="8">
        <v>271.0</v>
      </c>
      <c r="J53" s="8">
        <v>259.43</v>
      </c>
      <c r="K53" s="8">
        <v>50.57</v>
      </c>
    </row>
    <row r="54">
      <c r="B54" s="6" t="s">
        <v>90</v>
      </c>
      <c r="C54" s="6" t="s">
        <v>61</v>
      </c>
      <c r="D54" s="6" t="s">
        <v>21</v>
      </c>
      <c r="E54" s="6" t="s">
        <v>27</v>
      </c>
      <c r="F54" s="6" t="s">
        <v>28</v>
      </c>
      <c r="G54" s="6" t="s">
        <v>18</v>
      </c>
      <c r="H54" s="7">
        <v>44975.0</v>
      </c>
      <c r="I54" s="8">
        <v>225.0</v>
      </c>
      <c r="J54" s="8">
        <v>296.09</v>
      </c>
      <c r="K54" s="8">
        <v>238.53</v>
      </c>
    </row>
    <row r="55">
      <c r="B55" s="6" t="s">
        <v>91</v>
      </c>
      <c r="C55" s="6"/>
      <c r="D55" s="6" t="s">
        <v>15</v>
      </c>
      <c r="E55" s="6" t="s">
        <v>22</v>
      </c>
      <c r="F55" s="6" t="s">
        <v>17</v>
      </c>
      <c r="G55" s="6" t="s">
        <v>18</v>
      </c>
      <c r="H55" s="7">
        <v>44976.0</v>
      </c>
      <c r="I55" s="8">
        <v>156.0</v>
      </c>
      <c r="J55" s="8">
        <v>19.55</v>
      </c>
      <c r="K55" s="8">
        <v>374.71</v>
      </c>
    </row>
    <row r="56">
      <c r="B56" s="6" t="s">
        <v>92</v>
      </c>
      <c r="C56" s="6" t="s">
        <v>14</v>
      </c>
      <c r="D56" s="6" t="s">
        <v>21</v>
      </c>
      <c r="E56" s="6" t="s">
        <v>32</v>
      </c>
      <c r="F56" s="6" t="s">
        <v>17</v>
      </c>
      <c r="G56" s="6" t="s">
        <v>33</v>
      </c>
      <c r="H56" s="7">
        <v>44977.0</v>
      </c>
      <c r="I56" s="8">
        <v>345.0</v>
      </c>
      <c r="J56" s="8">
        <v>200.78</v>
      </c>
      <c r="K56" s="8">
        <v>350.69</v>
      </c>
    </row>
    <row r="57">
      <c r="B57" s="6" t="s">
        <v>93</v>
      </c>
      <c r="C57" s="6" t="s">
        <v>61</v>
      </c>
      <c r="D57" s="6" t="s">
        <v>63</v>
      </c>
      <c r="E57" s="6" t="s">
        <v>22</v>
      </c>
      <c r="F57" s="6" t="s">
        <v>17</v>
      </c>
      <c r="G57" s="6" t="s">
        <v>23</v>
      </c>
      <c r="H57" s="7">
        <v>44978.0</v>
      </c>
      <c r="I57" s="8">
        <v>177.0</v>
      </c>
      <c r="J57" s="8">
        <v>305.06</v>
      </c>
      <c r="K57" s="8">
        <v>112.55</v>
      </c>
    </row>
    <row r="58">
      <c r="B58" s="6" t="s">
        <v>94</v>
      </c>
      <c r="C58" s="6" t="s">
        <v>14</v>
      </c>
      <c r="D58" s="6" t="s">
        <v>15</v>
      </c>
      <c r="E58" s="6" t="s">
        <v>22</v>
      </c>
      <c r="F58" s="6" t="s">
        <v>28</v>
      </c>
      <c r="G58" s="6" t="s">
        <v>18</v>
      </c>
      <c r="H58" s="7">
        <v>44979.0</v>
      </c>
      <c r="I58" s="8">
        <v>101.0</v>
      </c>
      <c r="J58" s="8">
        <v>300.87</v>
      </c>
      <c r="K58" s="8">
        <v>340.88</v>
      </c>
    </row>
    <row r="59">
      <c r="B59" s="6" t="s">
        <v>95</v>
      </c>
      <c r="C59" s="6" t="s">
        <v>20</v>
      </c>
      <c r="D59" s="6" t="s">
        <v>39</v>
      </c>
      <c r="E59" s="6" t="s">
        <v>16</v>
      </c>
      <c r="F59" s="6" t="s">
        <v>28</v>
      </c>
      <c r="G59" s="6" t="s">
        <v>23</v>
      </c>
      <c r="H59" s="7">
        <v>44980.0</v>
      </c>
      <c r="I59" s="8">
        <v>362.0</v>
      </c>
      <c r="J59" s="8">
        <v>397.51</v>
      </c>
      <c r="K59" s="8">
        <v>2.13</v>
      </c>
    </row>
    <row r="60">
      <c r="B60" s="6" t="s">
        <v>96</v>
      </c>
      <c r="C60" s="6" t="s">
        <v>14</v>
      </c>
      <c r="D60" s="6" t="s">
        <v>21</v>
      </c>
      <c r="E60" s="6" t="s">
        <v>32</v>
      </c>
      <c r="F60" s="6" t="s">
        <v>28</v>
      </c>
      <c r="G60" s="6" t="s">
        <v>33</v>
      </c>
      <c r="H60" s="7">
        <v>44981.0</v>
      </c>
      <c r="I60" s="8">
        <v>68.0</v>
      </c>
      <c r="J60" s="8">
        <v>329.23</v>
      </c>
      <c r="K60" s="8">
        <v>9.04</v>
      </c>
    </row>
    <row r="61">
      <c r="B61" s="6" t="s">
        <v>97</v>
      </c>
      <c r="C61" s="6" t="s">
        <v>20</v>
      </c>
      <c r="D61" s="6" t="s">
        <v>21</v>
      </c>
      <c r="E61" s="6" t="s">
        <v>22</v>
      </c>
      <c r="F61" s="6" t="s">
        <v>28</v>
      </c>
      <c r="G61" s="6" t="s">
        <v>33</v>
      </c>
      <c r="H61" s="7">
        <v>44982.0</v>
      </c>
      <c r="I61" s="8">
        <v>68.0</v>
      </c>
      <c r="J61" s="8">
        <v>496.11</v>
      </c>
      <c r="K61" s="8">
        <v>241.82</v>
      </c>
    </row>
    <row r="62">
      <c r="B62" s="6" t="s">
        <v>98</v>
      </c>
      <c r="C62" s="6" t="s">
        <v>20</v>
      </c>
      <c r="D62" s="6" t="s">
        <v>15</v>
      </c>
      <c r="E62" s="6" t="s">
        <v>22</v>
      </c>
      <c r="F62" s="6" t="s">
        <v>17</v>
      </c>
      <c r="G62" s="6" t="s">
        <v>18</v>
      </c>
      <c r="H62" s="7">
        <v>44983.0</v>
      </c>
      <c r="I62" s="8">
        <v>313.0</v>
      </c>
      <c r="J62" s="8">
        <v>145.51</v>
      </c>
      <c r="K62" s="8">
        <v>147.19</v>
      </c>
    </row>
    <row r="63">
      <c r="B63" s="6" t="s">
        <v>99</v>
      </c>
      <c r="C63" s="6" t="s">
        <v>26</v>
      </c>
      <c r="D63" s="6" t="s">
        <v>39</v>
      </c>
      <c r="E63" s="6" t="s">
        <v>32</v>
      </c>
      <c r="F63" s="6" t="s">
        <v>17</v>
      </c>
      <c r="G63" s="6" t="s">
        <v>33</v>
      </c>
      <c r="H63" s="7">
        <v>44984.0</v>
      </c>
      <c r="I63" s="8">
        <v>178.0</v>
      </c>
      <c r="J63" s="8">
        <v>182.78</v>
      </c>
      <c r="K63" s="8">
        <v>155.81</v>
      </c>
    </row>
    <row r="64">
      <c r="B64" s="6" t="s">
        <v>100</v>
      </c>
      <c r="C64" s="6" t="s">
        <v>14</v>
      </c>
      <c r="D64" s="6" t="s">
        <v>39</v>
      </c>
      <c r="E64" s="6" t="s">
        <v>32</v>
      </c>
      <c r="F64" s="6" t="s">
        <v>17</v>
      </c>
      <c r="G64" s="6" t="s">
        <v>18</v>
      </c>
      <c r="H64" s="7">
        <v>44985.0</v>
      </c>
      <c r="I64" s="8">
        <v>278.0</v>
      </c>
      <c r="J64" s="8">
        <v>195.0</v>
      </c>
      <c r="K64" s="8">
        <v>226.65</v>
      </c>
    </row>
    <row r="65">
      <c r="B65" s="6" t="s">
        <v>101</v>
      </c>
      <c r="C65" s="6" t="s">
        <v>26</v>
      </c>
      <c r="D65" s="6" t="s">
        <v>63</v>
      </c>
      <c r="E65" s="6" t="s">
        <v>22</v>
      </c>
      <c r="F65" s="6" t="s">
        <v>17</v>
      </c>
      <c r="G65" s="6" t="s">
        <v>33</v>
      </c>
      <c r="H65" s="7">
        <v>44986.0</v>
      </c>
      <c r="I65" s="8">
        <v>372.0</v>
      </c>
      <c r="J65" s="8">
        <v>235.58</v>
      </c>
      <c r="K65" s="8">
        <v>78.33</v>
      </c>
    </row>
    <row r="66">
      <c r="B66" s="6" t="s">
        <v>102</v>
      </c>
      <c r="C66" s="6" t="s">
        <v>14</v>
      </c>
      <c r="D66" s="6" t="s">
        <v>39</v>
      </c>
      <c r="E66" s="6" t="s">
        <v>32</v>
      </c>
      <c r="F66" s="6" t="s">
        <v>28</v>
      </c>
      <c r="G66" s="6" t="s">
        <v>33</v>
      </c>
      <c r="H66" s="7">
        <v>44987.0</v>
      </c>
      <c r="I66" s="8">
        <v>54.0</v>
      </c>
      <c r="J66" s="8">
        <v>418.82</v>
      </c>
      <c r="K66" s="8">
        <v>86.28</v>
      </c>
    </row>
    <row r="67">
      <c r="B67" s="6" t="s">
        <v>103</v>
      </c>
      <c r="C67" s="6" t="s">
        <v>14</v>
      </c>
      <c r="D67" s="6" t="s">
        <v>39</v>
      </c>
      <c r="E67" s="6" t="s">
        <v>22</v>
      </c>
      <c r="F67" s="6" t="s">
        <v>28</v>
      </c>
      <c r="G67" s="6" t="s">
        <v>18</v>
      </c>
      <c r="H67" s="7">
        <v>44988.0</v>
      </c>
      <c r="I67" s="8">
        <v>354.0</v>
      </c>
      <c r="J67" s="8">
        <v>121.72</v>
      </c>
      <c r="K67" s="8">
        <v>194.87</v>
      </c>
    </row>
    <row r="68">
      <c r="B68" s="6" t="s">
        <v>104</v>
      </c>
      <c r="C68" s="6" t="s">
        <v>26</v>
      </c>
      <c r="D68" s="6" t="s">
        <v>39</v>
      </c>
      <c r="E68" s="6" t="s">
        <v>22</v>
      </c>
      <c r="F68" s="6" t="s">
        <v>17</v>
      </c>
      <c r="G68" s="6" t="s">
        <v>18</v>
      </c>
      <c r="H68" s="7">
        <v>44989.0</v>
      </c>
      <c r="I68" s="8">
        <v>190.0</v>
      </c>
      <c r="J68" s="8">
        <v>389.12</v>
      </c>
      <c r="K68" s="8">
        <v>302.19</v>
      </c>
    </row>
    <row r="69">
      <c r="B69" s="6" t="s">
        <v>105</v>
      </c>
      <c r="C69" s="6"/>
      <c r="D69" s="6" t="s">
        <v>31</v>
      </c>
      <c r="E69" s="6" t="s">
        <v>16</v>
      </c>
      <c r="F69" s="6" t="s">
        <v>17</v>
      </c>
      <c r="G69" s="6" t="s">
        <v>18</v>
      </c>
      <c r="H69" s="7">
        <v>44990.0</v>
      </c>
      <c r="I69" s="8">
        <v>179.0</v>
      </c>
      <c r="J69" s="8">
        <v>205.63</v>
      </c>
      <c r="K69" s="8">
        <v>248.56</v>
      </c>
    </row>
    <row r="70">
      <c r="B70" s="6" t="s">
        <v>106</v>
      </c>
      <c r="C70" s="6" t="s">
        <v>14</v>
      </c>
      <c r="D70" s="6" t="s">
        <v>63</v>
      </c>
      <c r="E70" s="6" t="s">
        <v>55</v>
      </c>
      <c r="F70" s="6" t="s">
        <v>28</v>
      </c>
      <c r="G70" s="6" t="s">
        <v>33</v>
      </c>
      <c r="H70" s="7">
        <v>44991.0</v>
      </c>
      <c r="I70" s="8">
        <v>365.0</v>
      </c>
      <c r="J70" s="8">
        <v>302.92</v>
      </c>
      <c r="K70" s="8">
        <v>120.35</v>
      </c>
    </row>
    <row r="71">
      <c r="B71" s="6" t="s">
        <v>107</v>
      </c>
      <c r="C71" s="6" t="s">
        <v>61</v>
      </c>
      <c r="D71" s="6" t="s">
        <v>21</v>
      </c>
      <c r="E71" s="6" t="s">
        <v>22</v>
      </c>
      <c r="F71" s="6" t="s">
        <v>17</v>
      </c>
      <c r="G71" s="6" t="s">
        <v>33</v>
      </c>
      <c r="H71" s="7">
        <v>44992.0</v>
      </c>
      <c r="I71" s="8">
        <v>200.0</v>
      </c>
      <c r="J71" s="8">
        <v>318.11</v>
      </c>
      <c r="K71" s="8">
        <v>173.27</v>
      </c>
    </row>
    <row r="72">
      <c r="B72" s="6" t="s">
        <v>108</v>
      </c>
      <c r="C72" s="6" t="s">
        <v>20</v>
      </c>
      <c r="D72" s="6" t="s">
        <v>15</v>
      </c>
      <c r="E72" s="6" t="s">
        <v>27</v>
      </c>
      <c r="F72" s="6" t="s">
        <v>28</v>
      </c>
      <c r="G72" s="6" t="s">
        <v>23</v>
      </c>
      <c r="H72" s="7">
        <v>44993.0</v>
      </c>
      <c r="I72" s="8">
        <v>164.0</v>
      </c>
      <c r="J72" s="8">
        <v>189.56</v>
      </c>
      <c r="K72" s="8">
        <v>69.92</v>
      </c>
    </row>
    <row r="73">
      <c r="B73" s="6" t="s">
        <v>109</v>
      </c>
      <c r="C73" s="6" t="s">
        <v>26</v>
      </c>
      <c r="D73" s="6" t="s">
        <v>21</v>
      </c>
      <c r="E73" s="6" t="s">
        <v>55</v>
      </c>
      <c r="F73" s="6" t="s">
        <v>17</v>
      </c>
      <c r="G73" s="6" t="s">
        <v>18</v>
      </c>
      <c r="H73" s="7">
        <v>44994.0</v>
      </c>
      <c r="I73" s="8">
        <v>431.0</v>
      </c>
      <c r="J73" s="8">
        <v>258.74</v>
      </c>
      <c r="K73" s="8">
        <v>31.7</v>
      </c>
    </row>
    <row r="74">
      <c r="B74" s="6" t="s">
        <v>110</v>
      </c>
      <c r="C74" s="6" t="s">
        <v>20</v>
      </c>
      <c r="D74" s="6" t="s">
        <v>63</v>
      </c>
      <c r="E74" s="6" t="s">
        <v>55</v>
      </c>
      <c r="F74" s="6" t="s">
        <v>17</v>
      </c>
      <c r="G74" s="6" t="s">
        <v>33</v>
      </c>
      <c r="H74" s="7">
        <v>44995.0</v>
      </c>
      <c r="I74" s="8">
        <v>197.0</v>
      </c>
      <c r="J74" s="8">
        <v>209.45</v>
      </c>
      <c r="K74" s="8">
        <v>313.51</v>
      </c>
    </row>
    <row r="75">
      <c r="B75" s="6" t="s">
        <v>111</v>
      </c>
      <c r="C75" s="6" t="s">
        <v>61</v>
      </c>
      <c r="D75" s="6" t="s">
        <v>15</v>
      </c>
      <c r="E75" s="6" t="s">
        <v>55</v>
      </c>
      <c r="F75" s="6" t="s">
        <v>17</v>
      </c>
      <c r="G75" s="6" t="s">
        <v>33</v>
      </c>
      <c r="H75" s="7">
        <v>44996.0</v>
      </c>
      <c r="I75" s="8">
        <v>16.0</v>
      </c>
      <c r="J75" s="8">
        <v>39.22</v>
      </c>
      <c r="K75" s="8">
        <v>107.62</v>
      </c>
    </row>
    <row r="76">
      <c r="B76" s="6" t="s">
        <v>112</v>
      </c>
      <c r="C76" s="6" t="s">
        <v>61</v>
      </c>
      <c r="D76" s="6" t="s">
        <v>63</v>
      </c>
      <c r="E76" s="6" t="s">
        <v>16</v>
      </c>
      <c r="F76" s="6" t="s">
        <v>17</v>
      </c>
      <c r="G76" s="6" t="s">
        <v>18</v>
      </c>
      <c r="H76" s="7">
        <v>44997.0</v>
      </c>
      <c r="I76" s="8">
        <v>142.0</v>
      </c>
      <c r="J76" s="8">
        <v>221.4</v>
      </c>
      <c r="K76" s="8">
        <v>72.75</v>
      </c>
    </row>
    <row r="77">
      <c r="B77" s="6" t="s">
        <v>113</v>
      </c>
      <c r="C77" s="6" t="s">
        <v>61</v>
      </c>
      <c r="D77" s="6" t="s">
        <v>39</v>
      </c>
      <c r="E77" s="6" t="s">
        <v>22</v>
      </c>
      <c r="F77" s="6" t="s">
        <v>17</v>
      </c>
      <c r="G77" s="6" t="s">
        <v>23</v>
      </c>
      <c r="H77" s="7">
        <v>44998.0</v>
      </c>
      <c r="I77" s="8">
        <v>244.0</v>
      </c>
      <c r="J77" s="8">
        <v>53.21</v>
      </c>
      <c r="K77" s="8">
        <v>277.26</v>
      </c>
    </row>
    <row r="78">
      <c r="B78" s="6" t="s">
        <v>114</v>
      </c>
      <c r="C78" s="6" t="s">
        <v>26</v>
      </c>
      <c r="D78" s="6" t="s">
        <v>15</v>
      </c>
      <c r="E78" s="6" t="s">
        <v>16</v>
      </c>
      <c r="F78" s="6" t="s">
        <v>17</v>
      </c>
      <c r="G78" s="6" t="s">
        <v>18</v>
      </c>
      <c r="H78" s="7">
        <v>44999.0</v>
      </c>
      <c r="I78" s="8">
        <v>54.0</v>
      </c>
      <c r="J78" s="8">
        <v>205.49</v>
      </c>
      <c r="K78" s="8">
        <v>247.98</v>
      </c>
    </row>
    <row r="79">
      <c r="B79" s="6" t="s">
        <v>115</v>
      </c>
      <c r="C79" s="6" t="s">
        <v>61</v>
      </c>
      <c r="D79" s="6" t="s">
        <v>39</v>
      </c>
      <c r="E79" s="6" t="s">
        <v>22</v>
      </c>
      <c r="F79" s="6" t="s">
        <v>17</v>
      </c>
      <c r="G79" s="6" t="s">
        <v>23</v>
      </c>
      <c r="H79" s="7">
        <v>45000.0</v>
      </c>
      <c r="I79" s="8">
        <v>323.0</v>
      </c>
      <c r="J79" s="8">
        <v>298.49</v>
      </c>
      <c r="K79" s="8">
        <v>254.01</v>
      </c>
    </row>
    <row r="80">
      <c r="B80" s="6" t="s">
        <v>116</v>
      </c>
      <c r="C80" s="6" t="s">
        <v>26</v>
      </c>
      <c r="D80" s="6" t="s">
        <v>21</v>
      </c>
      <c r="E80" s="6" t="s">
        <v>16</v>
      </c>
      <c r="F80" s="6" t="s">
        <v>28</v>
      </c>
      <c r="G80" s="6" t="s">
        <v>33</v>
      </c>
      <c r="H80" s="7">
        <v>45001.0</v>
      </c>
      <c r="I80" s="8">
        <v>258.0</v>
      </c>
      <c r="J80" s="8">
        <v>291.81</v>
      </c>
      <c r="K80" s="8">
        <v>93.1</v>
      </c>
    </row>
    <row r="81">
      <c r="B81" s="6" t="s">
        <v>117</v>
      </c>
      <c r="C81" s="6" t="s">
        <v>61</v>
      </c>
      <c r="D81" s="6" t="s">
        <v>21</v>
      </c>
      <c r="E81" s="6" t="s">
        <v>16</v>
      </c>
      <c r="F81" s="6" t="s">
        <v>28</v>
      </c>
      <c r="G81" s="6" t="s">
        <v>23</v>
      </c>
      <c r="H81" s="7">
        <v>45002.0</v>
      </c>
      <c r="I81" s="8">
        <v>40.0</v>
      </c>
      <c r="J81" s="8">
        <v>333.0</v>
      </c>
      <c r="K81" s="8">
        <v>94.59</v>
      </c>
    </row>
    <row r="82">
      <c r="B82" s="6" t="s">
        <v>118</v>
      </c>
      <c r="C82" s="6" t="s">
        <v>20</v>
      </c>
      <c r="D82" s="6" t="s">
        <v>15</v>
      </c>
      <c r="E82" s="6" t="s">
        <v>27</v>
      </c>
      <c r="F82" s="6" t="s">
        <v>28</v>
      </c>
      <c r="G82" s="6" t="s">
        <v>33</v>
      </c>
      <c r="H82" s="7">
        <v>45003.0</v>
      </c>
      <c r="I82" s="8">
        <v>32.0</v>
      </c>
      <c r="J82" s="8">
        <v>52.15</v>
      </c>
      <c r="K82" s="8">
        <v>89.88</v>
      </c>
    </row>
    <row r="83">
      <c r="B83" s="6" t="s">
        <v>119</v>
      </c>
      <c r="C83" s="6" t="s">
        <v>20</v>
      </c>
      <c r="D83" s="6" t="s">
        <v>15</v>
      </c>
      <c r="E83" s="6" t="s">
        <v>16</v>
      </c>
      <c r="F83" s="6" t="s">
        <v>28</v>
      </c>
      <c r="G83" s="6" t="s">
        <v>18</v>
      </c>
      <c r="H83" s="7">
        <v>45004.0</v>
      </c>
      <c r="I83" s="8">
        <v>435.0</v>
      </c>
      <c r="J83" s="8">
        <v>327.8</v>
      </c>
      <c r="K83" s="8">
        <v>71.15</v>
      </c>
    </row>
    <row r="84">
      <c r="B84" s="6" t="s">
        <v>120</v>
      </c>
      <c r="C84" s="6" t="s">
        <v>14</v>
      </c>
      <c r="D84" s="6" t="s">
        <v>63</v>
      </c>
      <c r="E84" s="6" t="s">
        <v>32</v>
      </c>
      <c r="F84" s="6" t="s">
        <v>28</v>
      </c>
      <c r="G84" s="6" t="s">
        <v>18</v>
      </c>
      <c r="H84" s="7">
        <v>45005.0</v>
      </c>
      <c r="I84" s="8">
        <v>403.0</v>
      </c>
      <c r="J84" s="8">
        <v>159.51</v>
      </c>
      <c r="K84" s="8">
        <v>262.98</v>
      </c>
    </row>
    <row r="85">
      <c r="B85" s="6" t="s">
        <v>121</v>
      </c>
      <c r="C85" s="6" t="s">
        <v>20</v>
      </c>
      <c r="D85" s="6" t="s">
        <v>63</v>
      </c>
      <c r="E85" s="6" t="s">
        <v>27</v>
      </c>
      <c r="F85" s="6" t="s">
        <v>17</v>
      </c>
      <c r="G85" s="6" t="s">
        <v>18</v>
      </c>
      <c r="H85" s="7">
        <v>45006.0</v>
      </c>
      <c r="I85" s="8">
        <v>169.0</v>
      </c>
      <c r="J85" s="6"/>
      <c r="K85" s="8">
        <v>339.51</v>
      </c>
    </row>
    <row r="86">
      <c r="B86" s="6" t="s">
        <v>122</v>
      </c>
      <c r="C86" s="6" t="s">
        <v>14</v>
      </c>
      <c r="D86" s="6" t="s">
        <v>39</v>
      </c>
      <c r="E86" s="6" t="s">
        <v>16</v>
      </c>
      <c r="F86" s="6" t="s">
        <v>17</v>
      </c>
      <c r="G86" s="6" t="s">
        <v>23</v>
      </c>
      <c r="H86" s="7">
        <v>45007.0</v>
      </c>
      <c r="I86" s="8">
        <v>372.0</v>
      </c>
      <c r="J86" s="8">
        <v>429.7</v>
      </c>
      <c r="K86" s="8">
        <v>290.28</v>
      </c>
    </row>
    <row r="87">
      <c r="B87" s="6" t="s">
        <v>123</v>
      </c>
      <c r="C87" s="6" t="s">
        <v>20</v>
      </c>
      <c r="D87" s="6" t="s">
        <v>15</v>
      </c>
      <c r="E87" s="6" t="s">
        <v>55</v>
      </c>
      <c r="F87" s="6" t="s">
        <v>28</v>
      </c>
      <c r="G87" s="6" t="s">
        <v>33</v>
      </c>
      <c r="H87" s="7">
        <v>45008.0</v>
      </c>
      <c r="I87" s="8">
        <v>446.0</v>
      </c>
      <c r="J87" s="8">
        <v>9.47</v>
      </c>
      <c r="K87" s="8">
        <v>317.25</v>
      </c>
    </row>
    <row r="88">
      <c r="B88" s="6" t="s">
        <v>124</v>
      </c>
      <c r="C88" s="6" t="s">
        <v>26</v>
      </c>
      <c r="D88" s="6" t="s">
        <v>21</v>
      </c>
      <c r="E88" s="6" t="s">
        <v>32</v>
      </c>
      <c r="F88" s="6" t="s">
        <v>17</v>
      </c>
      <c r="G88" s="6" t="s">
        <v>18</v>
      </c>
      <c r="H88" s="7">
        <v>45009.0</v>
      </c>
      <c r="I88" s="8">
        <v>167.0</v>
      </c>
      <c r="J88" s="8">
        <v>296.26</v>
      </c>
      <c r="K88" s="8">
        <v>163.11</v>
      </c>
    </row>
    <row r="89">
      <c r="B89" s="6" t="s">
        <v>125</v>
      </c>
      <c r="C89" s="6" t="s">
        <v>20</v>
      </c>
      <c r="D89" s="6" t="s">
        <v>63</v>
      </c>
      <c r="E89" s="6" t="s">
        <v>32</v>
      </c>
      <c r="F89" s="6" t="s">
        <v>28</v>
      </c>
      <c r="G89" s="6" t="s">
        <v>18</v>
      </c>
      <c r="H89" s="7">
        <v>45010.0</v>
      </c>
      <c r="I89" s="8">
        <v>48.0</v>
      </c>
      <c r="J89" s="8">
        <v>301.36</v>
      </c>
      <c r="K89" s="8">
        <v>262.32</v>
      </c>
    </row>
    <row r="90">
      <c r="B90" s="6" t="s">
        <v>126</v>
      </c>
      <c r="C90" s="6" t="s">
        <v>14</v>
      </c>
      <c r="D90" s="6" t="s">
        <v>63</v>
      </c>
      <c r="E90" s="6" t="s">
        <v>32</v>
      </c>
      <c r="F90" s="6" t="s">
        <v>28</v>
      </c>
      <c r="G90" s="6" t="s">
        <v>33</v>
      </c>
      <c r="H90" s="7">
        <v>45011.0</v>
      </c>
      <c r="I90" s="8">
        <v>424.0</v>
      </c>
      <c r="J90" s="8">
        <v>201.35</v>
      </c>
      <c r="K90" s="8">
        <v>142.99</v>
      </c>
    </row>
    <row r="91">
      <c r="B91" s="6" t="s">
        <v>127</v>
      </c>
      <c r="C91" s="6" t="s">
        <v>14</v>
      </c>
      <c r="D91" s="6" t="s">
        <v>21</v>
      </c>
      <c r="E91" s="6" t="s">
        <v>27</v>
      </c>
      <c r="F91" s="6" t="s">
        <v>17</v>
      </c>
      <c r="G91" s="6" t="s">
        <v>18</v>
      </c>
      <c r="H91" s="7">
        <v>45012.0</v>
      </c>
      <c r="I91" s="8">
        <v>91.0</v>
      </c>
      <c r="J91" s="8">
        <v>122.33</v>
      </c>
      <c r="K91" s="8">
        <v>211.15</v>
      </c>
    </row>
    <row r="92">
      <c r="B92" s="6" t="s">
        <v>128</v>
      </c>
      <c r="C92" s="6" t="s">
        <v>61</v>
      </c>
      <c r="D92" s="6" t="s">
        <v>63</v>
      </c>
      <c r="E92" s="6" t="s">
        <v>16</v>
      </c>
      <c r="F92" s="6" t="s">
        <v>17</v>
      </c>
      <c r="G92" s="6" t="s">
        <v>33</v>
      </c>
      <c r="H92" s="7">
        <v>45013.0</v>
      </c>
      <c r="I92" s="8">
        <v>365.0</v>
      </c>
      <c r="J92" s="8">
        <v>121.16</v>
      </c>
      <c r="K92" s="8">
        <v>193.69</v>
      </c>
    </row>
    <row r="93">
      <c r="B93" s="6" t="s">
        <v>129</v>
      </c>
      <c r="C93" s="6" t="s">
        <v>26</v>
      </c>
      <c r="D93" s="6" t="s">
        <v>39</v>
      </c>
      <c r="E93" s="6" t="s">
        <v>16</v>
      </c>
      <c r="F93" s="6" t="s">
        <v>17</v>
      </c>
      <c r="G93" s="6" t="s">
        <v>33</v>
      </c>
      <c r="H93" s="7">
        <v>45014.0</v>
      </c>
      <c r="I93" s="8">
        <v>267.0</v>
      </c>
      <c r="J93" s="8">
        <v>442.44</v>
      </c>
      <c r="K93" s="8">
        <v>72.4</v>
      </c>
    </row>
    <row r="94">
      <c r="B94" s="6" t="s">
        <v>130</v>
      </c>
      <c r="C94" s="6" t="s">
        <v>20</v>
      </c>
      <c r="D94" s="6" t="s">
        <v>15</v>
      </c>
      <c r="E94" s="6" t="s">
        <v>55</v>
      </c>
      <c r="F94" s="6" t="s">
        <v>28</v>
      </c>
      <c r="G94" s="6" t="s">
        <v>33</v>
      </c>
      <c r="H94" s="7">
        <v>45015.0</v>
      </c>
      <c r="I94" s="8">
        <v>215.0</v>
      </c>
      <c r="J94" s="8">
        <v>223.8</v>
      </c>
      <c r="K94" s="8">
        <v>156.06</v>
      </c>
    </row>
    <row r="95">
      <c r="B95" s="6" t="s">
        <v>131</v>
      </c>
      <c r="C95" s="6" t="s">
        <v>61</v>
      </c>
      <c r="D95" s="6" t="s">
        <v>21</v>
      </c>
      <c r="E95" s="6" t="s">
        <v>55</v>
      </c>
      <c r="F95" s="6" t="s">
        <v>17</v>
      </c>
      <c r="G95" s="6" t="s">
        <v>33</v>
      </c>
      <c r="H95" s="7">
        <v>45016.0</v>
      </c>
      <c r="I95" s="8">
        <v>86.0</v>
      </c>
      <c r="J95" s="8">
        <v>168.79</v>
      </c>
      <c r="K95" s="8">
        <v>385.6</v>
      </c>
    </row>
    <row r="96">
      <c r="B96" s="6" t="s">
        <v>132</v>
      </c>
      <c r="C96" s="6" t="s">
        <v>20</v>
      </c>
      <c r="D96" s="6" t="s">
        <v>15</v>
      </c>
      <c r="E96" s="6" t="s">
        <v>32</v>
      </c>
      <c r="F96" s="6" t="s">
        <v>28</v>
      </c>
      <c r="G96" s="6" t="s">
        <v>33</v>
      </c>
      <c r="H96" s="7">
        <v>45017.0</v>
      </c>
      <c r="I96" s="8">
        <v>486.0</v>
      </c>
      <c r="J96" s="8">
        <v>227.14</v>
      </c>
      <c r="K96" s="8">
        <v>100.93</v>
      </c>
    </row>
    <row r="97">
      <c r="B97" s="6" t="s">
        <v>133</v>
      </c>
      <c r="C97" s="6" t="s">
        <v>20</v>
      </c>
      <c r="D97" s="6" t="s">
        <v>63</v>
      </c>
      <c r="E97" s="6" t="s">
        <v>55</v>
      </c>
      <c r="F97" s="6" t="s">
        <v>28</v>
      </c>
      <c r="G97" s="6" t="s">
        <v>23</v>
      </c>
      <c r="H97" s="7">
        <v>45018.0</v>
      </c>
      <c r="I97" s="8">
        <v>21.0</v>
      </c>
      <c r="J97" s="6"/>
      <c r="K97" s="8">
        <v>55.25</v>
      </c>
    </row>
    <row r="98">
      <c r="B98" s="6" t="s">
        <v>134</v>
      </c>
      <c r="C98" s="6" t="s">
        <v>61</v>
      </c>
      <c r="D98" s="6" t="s">
        <v>63</v>
      </c>
      <c r="E98" s="6" t="s">
        <v>27</v>
      </c>
      <c r="F98" s="6" t="s">
        <v>28</v>
      </c>
      <c r="G98" s="6" t="s">
        <v>18</v>
      </c>
      <c r="H98" s="7">
        <v>45019.0</v>
      </c>
      <c r="I98" s="8">
        <v>304.0</v>
      </c>
      <c r="J98" s="8">
        <v>77.15</v>
      </c>
      <c r="K98" s="8">
        <v>168.6</v>
      </c>
    </row>
    <row r="99">
      <c r="B99" s="6" t="s">
        <v>135</v>
      </c>
      <c r="C99" s="6" t="s">
        <v>61</v>
      </c>
      <c r="D99" s="6" t="s">
        <v>21</v>
      </c>
      <c r="E99" s="6" t="s">
        <v>16</v>
      </c>
      <c r="F99" s="6" t="s">
        <v>17</v>
      </c>
      <c r="G99" s="6" t="s">
        <v>23</v>
      </c>
      <c r="H99" s="7">
        <v>45020.0</v>
      </c>
      <c r="I99" s="8">
        <v>459.0</v>
      </c>
      <c r="J99" s="8">
        <v>227.47</v>
      </c>
      <c r="K99" s="8">
        <v>316.55</v>
      </c>
    </row>
    <row r="100">
      <c r="B100" s="6" t="s">
        <v>136</v>
      </c>
      <c r="C100" s="6" t="s">
        <v>61</v>
      </c>
      <c r="D100" s="6" t="s">
        <v>39</v>
      </c>
      <c r="E100" s="6" t="s">
        <v>32</v>
      </c>
      <c r="F100" s="6" t="s">
        <v>17</v>
      </c>
      <c r="G100" s="6" t="s">
        <v>18</v>
      </c>
      <c r="H100" s="7">
        <v>45021.0</v>
      </c>
      <c r="I100" s="8">
        <v>233.0</v>
      </c>
      <c r="J100" s="8">
        <v>296.0</v>
      </c>
      <c r="K100" s="8">
        <v>233.69</v>
      </c>
    </row>
    <row r="101">
      <c r="B101" s="6" t="s">
        <v>137</v>
      </c>
      <c r="C101" s="6" t="s">
        <v>61</v>
      </c>
      <c r="D101" s="6" t="s">
        <v>31</v>
      </c>
      <c r="E101" s="6" t="s">
        <v>55</v>
      </c>
      <c r="F101" s="6" t="s">
        <v>28</v>
      </c>
      <c r="G101" s="6" t="s">
        <v>23</v>
      </c>
      <c r="H101" s="7">
        <v>45022.0</v>
      </c>
      <c r="I101" s="8">
        <v>22.0</v>
      </c>
      <c r="J101" s="8">
        <v>474.55</v>
      </c>
      <c r="K101" s="8">
        <v>273.03</v>
      </c>
    </row>
    <row r="102">
      <c r="B102" s="6" t="s">
        <v>138</v>
      </c>
      <c r="C102" s="6" t="s">
        <v>61</v>
      </c>
      <c r="D102" s="6" t="s">
        <v>21</v>
      </c>
      <c r="E102" s="6" t="s">
        <v>27</v>
      </c>
      <c r="F102" s="6" t="s">
        <v>17</v>
      </c>
      <c r="G102" s="6" t="s">
        <v>33</v>
      </c>
      <c r="H102" s="7">
        <v>45023.0</v>
      </c>
      <c r="I102" s="8">
        <v>55.0</v>
      </c>
      <c r="J102" s="8">
        <v>130.0</v>
      </c>
      <c r="K102" s="8">
        <v>77.5</v>
      </c>
    </row>
    <row r="103">
      <c r="B103" s="6" t="s">
        <v>139</v>
      </c>
      <c r="C103" s="6" t="s">
        <v>20</v>
      </c>
      <c r="D103" s="6" t="s">
        <v>31</v>
      </c>
      <c r="E103" s="6" t="s">
        <v>27</v>
      </c>
      <c r="F103" s="6" t="s">
        <v>17</v>
      </c>
      <c r="G103" s="6" t="s">
        <v>18</v>
      </c>
      <c r="H103" s="7">
        <v>45024.0</v>
      </c>
      <c r="I103" s="8">
        <v>164.0</v>
      </c>
      <c r="J103" s="8">
        <v>182.83</v>
      </c>
      <c r="K103" s="8">
        <v>248.34</v>
      </c>
    </row>
    <row r="104">
      <c r="B104" s="6" t="s">
        <v>140</v>
      </c>
      <c r="C104" s="6" t="s">
        <v>61</v>
      </c>
      <c r="D104" s="6" t="s">
        <v>31</v>
      </c>
      <c r="E104" s="6" t="s">
        <v>55</v>
      </c>
      <c r="F104" s="6" t="s">
        <v>17</v>
      </c>
      <c r="G104" s="6" t="s">
        <v>18</v>
      </c>
      <c r="H104" s="7">
        <v>45025.0</v>
      </c>
      <c r="I104" s="8">
        <v>122.0</v>
      </c>
      <c r="J104" s="8">
        <v>192.78</v>
      </c>
      <c r="K104" s="8">
        <v>130.75</v>
      </c>
    </row>
    <row r="105">
      <c r="B105" s="6" t="s">
        <v>141</v>
      </c>
      <c r="C105" s="6" t="s">
        <v>26</v>
      </c>
      <c r="D105" s="6" t="s">
        <v>39</v>
      </c>
      <c r="E105" s="6" t="s">
        <v>16</v>
      </c>
      <c r="F105" s="6" t="s">
        <v>28</v>
      </c>
      <c r="G105" s="6" t="s">
        <v>23</v>
      </c>
      <c r="H105" s="7">
        <v>45026.0</v>
      </c>
      <c r="I105" s="8">
        <v>242.0</v>
      </c>
      <c r="J105" s="8">
        <v>304.74</v>
      </c>
      <c r="K105" s="8">
        <v>334.05</v>
      </c>
    </row>
    <row r="106">
      <c r="B106" s="6" t="s">
        <v>142</v>
      </c>
      <c r="C106" s="6" t="s">
        <v>14</v>
      </c>
      <c r="D106" s="6" t="s">
        <v>31</v>
      </c>
      <c r="E106" s="6" t="s">
        <v>55</v>
      </c>
      <c r="F106" s="6" t="s">
        <v>28</v>
      </c>
      <c r="G106" s="6" t="s">
        <v>23</v>
      </c>
      <c r="H106" s="7">
        <v>45027.0</v>
      </c>
      <c r="I106" s="8">
        <v>26.0</v>
      </c>
      <c r="J106" s="8">
        <v>181.58</v>
      </c>
      <c r="K106" s="8">
        <v>252.46</v>
      </c>
    </row>
    <row r="107">
      <c r="B107" s="6" t="s">
        <v>143</v>
      </c>
      <c r="C107" s="6" t="s">
        <v>61</v>
      </c>
      <c r="D107" s="6" t="s">
        <v>31</v>
      </c>
      <c r="E107" s="6" t="s">
        <v>32</v>
      </c>
      <c r="F107" s="6" t="s">
        <v>17</v>
      </c>
      <c r="G107" s="6" t="s">
        <v>18</v>
      </c>
      <c r="H107" s="7">
        <v>45028.0</v>
      </c>
      <c r="I107" s="8">
        <v>369.0</v>
      </c>
      <c r="J107" s="8">
        <v>269.09</v>
      </c>
      <c r="K107" s="8">
        <v>81.14</v>
      </c>
    </row>
    <row r="108">
      <c r="B108" s="6" t="s">
        <v>144</v>
      </c>
      <c r="C108" s="6" t="s">
        <v>61</v>
      </c>
      <c r="D108" s="6" t="s">
        <v>39</v>
      </c>
      <c r="E108" s="6" t="s">
        <v>55</v>
      </c>
      <c r="F108" s="6" t="s">
        <v>28</v>
      </c>
      <c r="G108" s="6" t="s">
        <v>23</v>
      </c>
      <c r="H108" s="7">
        <v>45029.0</v>
      </c>
      <c r="I108" s="8">
        <v>232.0</v>
      </c>
      <c r="J108" s="8">
        <v>391.99</v>
      </c>
      <c r="K108" s="8">
        <v>27.72</v>
      </c>
    </row>
    <row r="109">
      <c r="B109" s="6" t="s">
        <v>145</v>
      </c>
      <c r="C109" s="6" t="s">
        <v>20</v>
      </c>
      <c r="D109" s="6" t="s">
        <v>31</v>
      </c>
      <c r="E109" s="6" t="s">
        <v>27</v>
      </c>
      <c r="F109" s="6" t="s">
        <v>17</v>
      </c>
      <c r="G109" s="6" t="s">
        <v>23</v>
      </c>
      <c r="H109" s="7">
        <v>45030.0</v>
      </c>
      <c r="I109" s="8">
        <v>363.0</v>
      </c>
      <c r="J109" s="8">
        <v>354.17</v>
      </c>
      <c r="K109" s="8">
        <v>18.97</v>
      </c>
    </row>
    <row r="110">
      <c r="B110" s="6" t="s">
        <v>146</v>
      </c>
      <c r="C110" s="6" t="s">
        <v>61</v>
      </c>
      <c r="D110" s="6" t="s">
        <v>31</v>
      </c>
      <c r="E110" s="6" t="s">
        <v>55</v>
      </c>
      <c r="F110" s="6" t="s">
        <v>17</v>
      </c>
      <c r="G110" s="6" t="s">
        <v>23</v>
      </c>
      <c r="H110" s="7">
        <v>45031.0</v>
      </c>
      <c r="I110" s="8">
        <v>197.0</v>
      </c>
      <c r="J110" s="8">
        <v>225.95</v>
      </c>
      <c r="K110" s="8">
        <v>149.82</v>
      </c>
    </row>
    <row r="111">
      <c r="B111" s="6" t="s">
        <v>147</v>
      </c>
      <c r="C111" s="6" t="s">
        <v>61</v>
      </c>
      <c r="D111" s="6" t="s">
        <v>31</v>
      </c>
      <c r="E111" s="6" t="s">
        <v>16</v>
      </c>
      <c r="F111" s="6" t="s">
        <v>17</v>
      </c>
      <c r="G111" s="6" t="s">
        <v>33</v>
      </c>
      <c r="H111" s="7">
        <v>45032.0</v>
      </c>
      <c r="I111" s="8">
        <v>457.0</v>
      </c>
      <c r="J111" s="8">
        <v>432.79</v>
      </c>
      <c r="K111" s="8">
        <v>107.81</v>
      </c>
    </row>
    <row r="112">
      <c r="B112" s="6" t="s">
        <v>148</v>
      </c>
      <c r="C112" s="6" t="s">
        <v>61</v>
      </c>
      <c r="D112" s="6" t="s">
        <v>21</v>
      </c>
      <c r="E112" s="6" t="s">
        <v>22</v>
      </c>
      <c r="F112" s="6" t="s">
        <v>17</v>
      </c>
      <c r="G112" s="6" t="s">
        <v>33</v>
      </c>
      <c r="H112" s="7">
        <v>45033.0</v>
      </c>
      <c r="I112" s="8">
        <v>353.0</v>
      </c>
      <c r="J112" s="8">
        <v>281.28</v>
      </c>
      <c r="K112" s="8">
        <v>259.14</v>
      </c>
    </row>
    <row r="113">
      <c r="B113" s="6" t="s">
        <v>149</v>
      </c>
      <c r="C113" s="6" t="s">
        <v>20</v>
      </c>
      <c r="D113" s="6" t="s">
        <v>21</v>
      </c>
      <c r="E113" s="6" t="s">
        <v>55</v>
      </c>
      <c r="F113" s="6" t="s">
        <v>28</v>
      </c>
      <c r="G113" s="6" t="s">
        <v>23</v>
      </c>
      <c r="H113" s="7">
        <v>45034.0</v>
      </c>
      <c r="I113" s="8">
        <v>374.0</v>
      </c>
      <c r="J113" s="8">
        <v>272.25</v>
      </c>
      <c r="K113" s="8">
        <v>200.73</v>
      </c>
    </row>
    <row r="114">
      <c r="B114" s="6" t="s">
        <v>150</v>
      </c>
      <c r="C114" s="6" t="s">
        <v>61</v>
      </c>
      <c r="D114" s="6" t="s">
        <v>21</v>
      </c>
      <c r="E114" s="6" t="s">
        <v>16</v>
      </c>
      <c r="F114" s="6" t="s">
        <v>28</v>
      </c>
      <c r="G114" s="6" t="s">
        <v>23</v>
      </c>
      <c r="H114" s="7">
        <v>45035.0</v>
      </c>
      <c r="I114" s="8">
        <v>172.0</v>
      </c>
      <c r="J114" s="8">
        <v>21.92</v>
      </c>
      <c r="K114" s="8">
        <v>107.88</v>
      </c>
    </row>
    <row r="115">
      <c r="B115" s="6" t="s">
        <v>151</v>
      </c>
      <c r="C115" s="6" t="s">
        <v>14</v>
      </c>
      <c r="D115" s="6" t="s">
        <v>39</v>
      </c>
      <c r="E115" s="6" t="s">
        <v>16</v>
      </c>
      <c r="F115" s="6" t="s">
        <v>28</v>
      </c>
      <c r="G115" s="6" t="s">
        <v>33</v>
      </c>
      <c r="H115" s="7">
        <v>45036.0</v>
      </c>
      <c r="I115" s="8">
        <v>335.0</v>
      </c>
      <c r="J115" s="8">
        <v>493.41</v>
      </c>
      <c r="K115" s="8">
        <v>61.4</v>
      </c>
    </row>
    <row r="116">
      <c r="B116" s="6" t="s">
        <v>152</v>
      </c>
      <c r="C116" s="6" t="s">
        <v>20</v>
      </c>
      <c r="D116" s="6" t="s">
        <v>63</v>
      </c>
      <c r="E116" s="6" t="s">
        <v>27</v>
      </c>
      <c r="F116" s="6" t="s">
        <v>17</v>
      </c>
      <c r="G116" s="6" t="s">
        <v>33</v>
      </c>
      <c r="H116" s="7">
        <v>45037.0</v>
      </c>
      <c r="I116" s="8">
        <v>476.0</v>
      </c>
      <c r="J116" s="8">
        <v>65.87</v>
      </c>
      <c r="K116" s="8">
        <v>52.63</v>
      </c>
    </row>
    <row r="117">
      <c r="B117" s="6" t="s">
        <v>153</v>
      </c>
      <c r="C117" s="6" t="s">
        <v>14</v>
      </c>
      <c r="D117" s="6" t="s">
        <v>31</v>
      </c>
      <c r="E117" s="6" t="s">
        <v>16</v>
      </c>
      <c r="F117" s="6" t="s">
        <v>17</v>
      </c>
      <c r="G117" s="6" t="s">
        <v>18</v>
      </c>
      <c r="H117" s="7">
        <v>45038.0</v>
      </c>
      <c r="I117" s="8">
        <v>423.0</v>
      </c>
      <c r="J117" s="8">
        <v>119.41</v>
      </c>
      <c r="K117" s="8">
        <v>346.13</v>
      </c>
    </row>
    <row r="118">
      <c r="B118" s="6" t="s">
        <v>154</v>
      </c>
      <c r="C118" s="6" t="s">
        <v>20</v>
      </c>
      <c r="D118" s="6" t="s">
        <v>31</v>
      </c>
      <c r="E118" s="6" t="s">
        <v>16</v>
      </c>
      <c r="F118" s="6" t="s">
        <v>17</v>
      </c>
      <c r="G118" s="6" t="s">
        <v>18</v>
      </c>
      <c r="H118" s="7">
        <v>45039.0</v>
      </c>
      <c r="I118" s="8">
        <v>464.0</v>
      </c>
      <c r="J118" s="8">
        <v>30.59</v>
      </c>
      <c r="K118" s="8">
        <v>98.9</v>
      </c>
    </row>
    <row r="119">
      <c r="B119" s="6" t="s">
        <v>155</v>
      </c>
      <c r="C119" s="6" t="s">
        <v>61</v>
      </c>
      <c r="D119" s="6" t="s">
        <v>39</v>
      </c>
      <c r="E119" s="6" t="s">
        <v>16</v>
      </c>
      <c r="F119" s="6" t="s">
        <v>28</v>
      </c>
      <c r="G119" s="6" t="s">
        <v>33</v>
      </c>
      <c r="H119" s="7">
        <v>45040.0</v>
      </c>
      <c r="I119" s="8">
        <v>83.0</v>
      </c>
      <c r="J119" s="8">
        <v>321.8</v>
      </c>
      <c r="K119" s="8">
        <v>261.38</v>
      </c>
    </row>
    <row r="120">
      <c r="B120" s="6" t="s">
        <v>156</v>
      </c>
      <c r="C120" s="6" t="s">
        <v>14</v>
      </c>
      <c r="D120" s="6" t="s">
        <v>31</v>
      </c>
      <c r="E120" s="6" t="s">
        <v>16</v>
      </c>
      <c r="F120" s="6" t="s">
        <v>17</v>
      </c>
      <c r="G120" s="6" t="s">
        <v>23</v>
      </c>
      <c r="H120" s="7">
        <v>45041.0</v>
      </c>
      <c r="I120" s="8">
        <v>242.0</v>
      </c>
      <c r="J120" s="8">
        <v>116.23</v>
      </c>
      <c r="K120" s="8">
        <v>324.65</v>
      </c>
    </row>
    <row r="121">
      <c r="B121" s="6" t="s">
        <v>157</v>
      </c>
      <c r="C121" s="6" t="s">
        <v>20</v>
      </c>
      <c r="D121" s="6" t="s">
        <v>21</v>
      </c>
      <c r="E121" s="6" t="s">
        <v>32</v>
      </c>
      <c r="F121" s="6" t="s">
        <v>28</v>
      </c>
      <c r="G121" s="6" t="s">
        <v>23</v>
      </c>
      <c r="H121" s="7">
        <v>45042.0</v>
      </c>
      <c r="I121" s="8">
        <v>233.0</v>
      </c>
      <c r="J121" s="8">
        <v>94.11</v>
      </c>
      <c r="K121" s="8">
        <v>246.4</v>
      </c>
    </row>
    <row r="122">
      <c r="B122" s="6" t="s">
        <v>158</v>
      </c>
      <c r="C122" s="6" t="s">
        <v>26</v>
      </c>
      <c r="D122" s="6" t="s">
        <v>63</v>
      </c>
      <c r="E122" s="6" t="s">
        <v>32</v>
      </c>
      <c r="F122" s="6" t="s">
        <v>28</v>
      </c>
      <c r="G122" s="6" t="s">
        <v>23</v>
      </c>
      <c r="H122" s="7">
        <v>45043.0</v>
      </c>
      <c r="I122" s="8">
        <v>491.0</v>
      </c>
      <c r="J122" s="8">
        <v>48.84</v>
      </c>
      <c r="K122" s="8">
        <v>344.11</v>
      </c>
    </row>
    <row r="123">
      <c r="B123" s="6" t="s">
        <v>159</v>
      </c>
      <c r="C123" s="6"/>
      <c r="D123" s="6" t="s">
        <v>15</v>
      </c>
      <c r="E123" s="6" t="s">
        <v>27</v>
      </c>
      <c r="F123" s="6" t="s">
        <v>28</v>
      </c>
      <c r="G123" s="6" t="s">
        <v>23</v>
      </c>
      <c r="H123" s="7">
        <v>45044.0</v>
      </c>
      <c r="I123" s="8">
        <v>328.0</v>
      </c>
      <c r="J123" s="8">
        <v>56.14</v>
      </c>
      <c r="K123" s="8">
        <v>158.17</v>
      </c>
    </row>
    <row r="124">
      <c r="B124" s="6" t="s">
        <v>160</v>
      </c>
      <c r="C124" s="6" t="s">
        <v>20</v>
      </c>
      <c r="D124" s="6" t="s">
        <v>31</v>
      </c>
      <c r="E124" s="6" t="s">
        <v>55</v>
      </c>
      <c r="F124" s="6" t="s">
        <v>28</v>
      </c>
      <c r="G124" s="6" t="s">
        <v>18</v>
      </c>
      <c r="H124" s="7">
        <v>45045.0</v>
      </c>
      <c r="I124" s="8">
        <v>421.0</v>
      </c>
      <c r="J124" s="8">
        <v>294.41</v>
      </c>
      <c r="K124" s="8">
        <v>382.58</v>
      </c>
    </row>
    <row r="125">
      <c r="B125" s="6" t="s">
        <v>161</v>
      </c>
      <c r="C125" s="6" t="s">
        <v>26</v>
      </c>
      <c r="D125" s="6" t="s">
        <v>21</v>
      </c>
      <c r="E125" s="6" t="s">
        <v>16</v>
      </c>
      <c r="F125" s="6" t="s">
        <v>28</v>
      </c>
      <c r="G125" s="6" t="s">
        <v>33</v>
      </c>
      <c r="H125" s="7">
        <v>45046.0</v>
      </c>
      <c r="I125" s="8">
        <v>69.0</v>
      </c>
      <c r="J125" s="8">
        <v>345.66</v>
      </c>
      <c r="K125" s="8">
        <v>54.99</v>
      </c>
    </row>
    <row r="126">
      <c r="B126" s="6" t="s">
        <v>162</v>
      </c>
      <c r="C126" s="6" t="s">
        <v>20</v>
      </c>
      <c r="D126" s="6" t="s">
        <v>15</v>
      </c>
      <c r="E126" s="6" t="s">
        <v>55</v>
      </c>
      <c r="F126" s="6" t="s">
        <v>28</v>
      </c>
      <c r="G126" s="6" t="s">
        <v>23</v>
      </c>
      <c r="H126" s="7">
        <v>45047.0</v>
      </c>
      <c r="I126" s="8">
        <v>344.0</v>
      </c>
      <c r="J126" s="8">
        <v>201.7</v>
      </c>
      <c r="K126" s="8">
        <v>42.66</v>
      </c>
    </row>
    <row r="127">
      <c r="B127" s="6" t="s">
        <v>163</v>
      </c>
      <c r="C127" s="6"/>
      <c r="D127" s="6" t="s">
        <v>63</v>
      </c>
      <c r="E127" s="6" t="s">
        <v>55</v>
      </c>
      <c r="F127" s="6" t="s">
        <v>17</v>
      </c>
      <c r="G127" s="6" t="s">
        <v>18</v>
      </c>
      <c r="H127" s="7">
        <v>45048.0</v>
      </c>
      <c r="I127" s="8">
        <v>231.0</v>
      </c>
      <c r="J127" s="8">
        <v>242.55</v>
      </c>
      <c r="K127" s="8">
        <v>264.16</v>
      </c>
    </row>
    <row r="128">
      <c r="B128" s="6" t="s">
        <v>164</v>
      </c>
      <c r="C128" s="6" t="s">
        <v>61</v>
      </c>
      <c r="D128" s="6" t="s">
        <v>15</v>
      </c>
      <c r="E128" s="6" t="s">
        <v>27</v>
      </c>
      <c r="F128" s="6" t="s">
        <v>17</v>
      </c>
      <c r="G128" s="6" t="s">
        <v>23</v>
      </c>
      <c r="H128" s="7">
        <v>45049.0</v>
      </c>
      <c r="I128" s="8">
        <v>46.0</v>
      </c>
      <c r="J128" s="8">
        <v>344.55</v>
      </c>
      <c r="K128" s="8">
        <v>377.25</v>
      </c>
    </row>
    <row r="129">
      <c r="B129" s="6" t="s">
        <v>165</v>
      </c>
      <c r="C129" s="6" t="s">
        <v>14</v>
      </c>
      <c r="D129" s="6" t="s">
        <v>21</v>
      </c>
      <c r="E129" s="6" t="s">
        <v>16</v>
      </c>
      <c r="F129" s="6" t="s">
        <v>28</v>
      </c>
      <c r="G129" s="6" t="s">
        <v>33</v>
      </c>
      <c r="H129" s="7">
        <v>45050.0</v>
      </c>
      <c r="I129" s="8">
        <v>486.0</v>
      </c>
      <c r="J129" s="8">
        <v>13.6</v>
      </c>
      <c r="K129" s="8">
        <v>323.94</v>
      </c>
    </row>
    <row r="130">
      <c r="B130" s="6" t="s">
        <v>166</v>
      </c>
      <c r="C130" s="6" t="s">
        <v>26</v>
      </c>
      <c r="D130" s="6" t="s">
        <v>15</v>
      </c>
      <c r="E130" s="6" t="s">
        <v>16</v>
      </c>
      <c r="F130" s="6" t="s">
        <v>28</v>
      </c>
      <c r="G130" s="6" t="s">
        <v>18</v>
      </c>
      <c r="H130" s="7">
        <v>45051.0</v>
      </c>
      <c r="I130" s="8">
        <v>287.0</v>
      </c>
      <c r="J130" s="8">
        <v>164.95</v>
      </c>
      <c r="K130" s="8">
        <v>32.41</v>
      </c>
    </row>
    <row r="131">
      <c r="B131" s="6" t="s">
        <v>167</v>
      </c>
      <c r="C131" s="6" t="s">
        <v>20</v>
      </c>
      <c r="D131" s="6" t="s">
        <v>39</v>
      </c>
      <c r="E131" s="6" t="s">
        <v>22</v>
      </c>
      <c r="F131" s="6" t="s">
        <v>17</v>
      </c>
      <c r="G131" s="6" t="s">
        <v>33</v>
      </c>
      <c r="H131" s="7">
        <v>45052.0</v>
      </c>
      <c r="I131" s="8">
        <v>205.0</v>
      </c>
      <c r="J131" s="8">
        <v>486.68</v>
      </c>
      <c r="K131" s="8">
        <v>113.19</v>
      </c>
    </row>
    <row r="132">
      <c r="B132" s="6" t="s">
        <v>168</v>
      </c>
      <c r="C132" s="6" t="s">
        <v>61</v>
      </c>
      <c r="D132" s="6" t="s">
        <v>15</v>
      </c>
      <c r="E132" s="6" t="s">
        <v>55</v>
      </c>
      <c r="F132" s="6" t="s">
        <v>28</v>
      </c>
      <c r="G132" s="6" t="s">
        <v>33</v>
      </c>
      <c r="H132" s="7">
        <v>45053.0</v>
      </c>
      <c r="I132" s="8">
        <v>413.0</v>
      </c>
      <c r="J132" s="8">
        <v>292.16</v>
      </c>
      <c r="K132" s="8">
        <v>372.27</v>
      </c>
    </row>
    <row r="133">
      <c r="B133" s="6" t="s">
        <v>169</v>
      </c>
      <c r="C133" s="6" t="s">
        <v>26</v>
      </c>
      <c r="D133" s="6" t="s">
        <v>31</v>
      </c>
      <c r="E133" s="6" t="s">
        <v>55</v>
      </c>
      <c r="F133" s="6" t="s">
        <v>28</v>
      </c>
      <c r="G133" s="6" t="s">
        <v>18</v>
      </c>
      <c r="H133" s="7">
        <v>45054.0</v>
      </c>
      <c r="I133" s="8">
        <v>361.0</v>
      </c>
      <c r="J133" s="8">
        <v>130.84</v>
      </c>
      <c r="K133" s="8">
        <v>102.72</v>
      </c>
    </row>
    <row r="134">
      <c r="B134" s="6" t="s">
        <v>170</v>
      </c>
      <c r="C134" s="6" t="s">
        <v>20</v>
      </c>
      <c r="D134" s="6" t="s">
        <v>31</v>
      </c>
      <c r="E134" s="6" t="s">
        <v>32</v>
      </c>
      <c r="F134" s="6" t="s">
        <v>17</v>
      </c>
      <c r="G134" s="6" t="s">
        <v>18</v>
      </c>
      <c r="H134" s="7">
        <v>45055.0</v>
      </c>
      <c r="I134" s="8">
        <v>493.0</v>
      </c>
      <c r="J134" s="8">
        <v>263.26</v>
      </c>
      <c r="K134" s="8">
        <v>312.91</v>
      </c>
    </row>
    <row r="135">
      <c r="B135" s="6" t="s">
        <v>171</v>
      </c>
      <c r="C135" s="6" t="s">
        <v>20</v>
      </c>
      <c r="D135" s="6" t="s">
        <v>39</v>
      </c>
      <c r="E135" s="6" t="s">
        <v>22</v>
      </c>
      <c r="F135" s="6" t="s">
        <v>28</v>
      </c>
      <c r="G135" s="6" t="s">
        <v>18</v>
      </c>
      <c r="H135" s="7">
        <v>45056.0</v>
      </c>
      <c r="I135" s="8">
        <v>251.0</v>
      </c>
      <c r="J135" s="8">
        <v>174.61</v>
      </c>
      <c r="K135" s="8">
        <v>330.4</v>
      </c>
    </row>
    <row r="136">
      <c r="B136" s="6" t="s">
        <v>172</v>
      </c>
      <c r="C136" s="6" t="s">
        <v>20</v>
      </c>
      <c r="D136" s="6" t="s">
        <v>21</v>
      </c>
      <c r="E136" s="6" t="s">
        <v>32</v>
      </c>
      <c r="F136" s="6" t="s">
        <v>28</v>
      </c>
      <c r="G136" s="6" t="s">
        <v>18</v>
      </c>
      <c r="H136" s="7">
        <v>45057.0</v>
      </c>
      <c r="I136" s="6"/>
      <c r="J136" s="8">
        <v>268.46</v>
      </c>
      <c r="K136" s="8">
        <v>199.19</v>
      </c>
    </row>
    <row r="137">
      <c r="B137" s="6" t="s">
        <v>173</v>
      </c>
      <c r="C137" s="6" t="s">
        <v>26</v>
      </c>
      <c r="D137" s="6" t="s">
        <v>31</v>
      </c>
      <c r="E137" s="6" t="s">
        <v>32</v>
      </c>
      <c r="F137" s="6" t="s">
        <v>28</v>
      </c>
      <c r="G137" s="6" t="s">
        <v>18</v>
      </c>
      <c r="H137" s="7">
        <v>45058.0</v>
      </c>
      <c r="I137" s="8">
        <v>228.0</v>
      </c>
      <c r="J137" s="8">
        <v>67.24</v>
      </c>
      <c r="K137" s="8">
        <v>155.77</v>
      </c>
    </row>
    <row r="138">
      <c r="B138" s="6" t="s">
        <v>174</v>
      </c>
      <c r="C138" s="6" t="s">
        <v>26</v>
      </c>
      <c r="D138" s="6" t="s">
        <v>63</v>
      </c>
      <c r="E138" s="6" t="s">
        <v>32</v>
      </c>
      <c r="F138" s="6" t="s">
        <v>17</v>
      </c>
      <c r="G138" s="6" t="s">
        <v>18</v>
      </c>
      <c r="H138" s="7">
        <v>45059.0</v>
      </c>
      <c r="I138" s="8">
        <v>201.0</v>
      </c>
      <c r="J138" s="8">
        <v>70.69</v>
      </c>
      <c r="K138" s="8">
        <v>181.15</v>
      </c>
    </row>
    <row r="139">
      <c r="B139" s="6" t="s">
        <v>175</v>
      </c>
      <c r="C139" s="6" t="s">
        <v>26</v>
      </c>
      <c r="D139" s="6" t="s">
        <v>31</v>
      </c>
      <c r="E139" s="6" t="s">
        <v>27</v>
      </c>
      <c r="F139" s="6" t="s">
        <v>17</v>
      </c>
      <c r="G139" s="6" t="s">
        <v>18</v>
      </c>
      <c r="H139" s="7">
        <v>45060.0</v>
      </c>
      <c r="I139" s="8">
        <v>26.0</v>
      </c>
      <c r="J139" s="8">
        <v>76.05</v>
      </c>
      <c r="K139" s="8">
        <v>92.33</v>
      </c>
    </row>
    <row r="140">
      <c r="B140" s="6" t="s">
        <v>176</v>
      </c>
      <c r="C140" s="6" t="s">
        <v>14</v>
      </c>
      <c r="D140" s="6" t="s">
        <v>31</v>
      </c>
      <c r="E140" s="6" t="s">
        <v>27</v>
      </c>
      <c r="F140" s="6" t="s">
        <v>17</v>
      </c>
      <c r="G140" s="6" t="s">
        <v>23</v>
      </c>
      <c r="H140" s="7">
        <v>45061.0</v>
      </c>
      <c r="I140" s="8">
        <v>21.0</v>
      </c>
      <c r="J140" s="8">
        <v>470.21</v>
      </c>
      <c r="K140" s="8">
        <v>355.98</v>
      </c>
    </row>
    <row r="141">
      <c r="B141" s="6" t="s">
        <v>177</v>
      </c>
      <c r="C141" s="6" t="s">
        <v>26</v>
      </c>
      <c r="D141" s="6" t="s">
        <v>21</v>
      </c>
      <c r="E141" s="6" t="s">
        <v>32</v>
      </c>
      <c r="F141" s="6" t="s">
        <v>28</v>
      </c>
      <c r="G141" s="6" t="s">
        <v>33</v>
      </c>
      <c r="H141" s="7">
        <v>45062.0</v>
      </c>
      <c r="I141" s="8">
        <v>415.0</v>
      </c>
      <c r="J141" s="8">
        <v>367.78</v>
      </c>
      <c r="K141" s="8">
        <v>181.35</v>
      </c>
    </row>
    <row r="142">
      <c r="B142" s="6" t="s">
        <v>178</v>
      </c>
      <c r="C142" s="6" t="s">
        <v>26</v>
      </c>
      <c r="D142" s="6" t="s">
        <v>15</v>
      </c>
      <c r="E142" s="6" t="s">
        <v>22</v>
      </c>
      <c r="F142" s="6" t="s">
        <v>28</v>
      </c>
      <c r="G142" s="6" t="s">
        <v>18</v>
      </c>
      <c r="H142" s="7">
        <v>45063.0</v>
      </c>
      <c r="I142" s="8">
        <v>410.0</v>
      </c>
      <c r="J142" s="8">
        <v>85.38</v>
      </c>
      <c r="K142" s="8">
        <v>353.22</v>
      </c>
    </row>
    <row r="143">
      <c r="B143" s="6" t="s">
        <v>179</v>
      </c>
      <c r="C143" s="6" t="s">
        <v>26</v>
      </c>
      <c r="D143" s="6" t="s">
        <v>31</v>
      </c>
      <c r="E143" s="6" t="s">
        <v>55</v>
      </c>
      <c r="F143" s="6" t="s">
        <v>17</v>
      </c>
      <c r="G143" s="6" t="s">
        <v>23</v>
      </c>
      <c r="H143" s="7">
        <v>45064.0</v>
      </c>
      <c r="I143" s="8">
        <v>403.0</v>
      </c>
      <c r="J143" s="8">
        <v>98.23</v>
      </c>
      <c r="K143" s="8">
        <v>44.07</v>
      </c>
    </row>
    <row r="144">
      <c r="B144" s="6" t="s">
        <v>180</v>
      </c>
      <c r="C144" s="6" t="s">
        <v>14</v>
      </c>
      <c r="D144" s="6" t="s">
        <v>39</v>
      </c>
      <c r="E144" s="6" t="s">
        <v>22</v>
      </c>
      <c r="F144" s="6" t="s">
        <v>28</v>
      </c>
      <c r="G144" s="6" t="s">
        <v>23</v>
      </c>
      <c r="H144" s="7">
        <v>45065.0</v>
      </c>
      <c r="I144" s="8">
        <v>383.0</v>
      </c>
      <c r="J144" s="8">
        <v>366.76</v>
      </c>
      <c r="K144" s="8">
        <v>395.33</v>
      </c>
    </row>
    <row r="145">
      <c r="B145" s="6" t="s">
        <v>181</v>
      </c>
      <c r="C145" s="6" t="s">
        <v>26</v>
      </c>
      <c r="D145" s="6" t="s">
        <v>15</v>
      </c>
      <c r="E145" s="6" t="s">
        <v>16</v>
      </c>
      <c r="F145" s="6" t="s">
        <v>28</v>
      </c>
      <c r="G145" s="6" t="s">
        <v>23</v>
      </c>
      <c r="H145" s="7">
        <v>45066.0</v>
      </c>
      <c r="I145" s="8">
        <v>202.0</v>
      </c>
      <c r="J145" s="8">
        <v>82.3</v>
      </c>
      <c r="K145" s="8">
        <v>178.42</v>
      </c>
    </row>
    <row r="146">
      <c r="B146" s="6" t="s">
        <v>182</v>
      </c>
      <c r="C146" s="6" t="s">
        <v>20</v>
      </c>
      <c r="D146" s="6" t="s">
        <v>63</v>
      </c>
      <c r="E146" s="6" t="s">
        <v>27</v>
      </c>
      <c r="F146" s="6" t="s">
        <v>28</v>
      </c>
      <c r="G146" s="6" t="s">
        <v>33</v>
      </c>
      <c r="H146" s="7">
        <v>45067.0</v>
      </c>
      <c r="I146" s="8">
        <v>31.0</v>
      </c>
      <c r="J146" s="8">
        <v>121.11</v>
      </c>
      <c r="K146" s="8">
        <v>21.04</v>
      </c>
    </row>
    <row r="147">
      <c r="B147" s="6" t="s">
        <v>183</v>
      </c>
      <c r="C147" s="6" t="s">
        <v>26</v>
      </c>
      <c r="D147" s="6" t="s">
        <v>21</v>
      </c>
      <c r="E147" s="6" t="s">
        <v>55</v>
      </c>
      <c r="F147" s="6" t="s">
        <v>28</v>
      </c>
      <c r="G147" s="6" t="s">
        <v>18</v>
      </c>
      <c r="H147" s="7">
        <v>45068.0</v>
      </c>
      <c r="I147" s="8">
        <v>483.0</v>
      </c>
      <c r="J147" s="8">
        <v>481.86</v>
      </c>
      <c r="K147" s="8">
        <v>17.13</v>
      </c>
    </row>
    <row r="148">
      <c r="B148" s="6" t="s">
        <v>184</v>
      </c>
      <c r="C148" s="6" t="s">
        <v>20</v>
      </c>
      <c r="D148" s="6" t="s">
        <v>63</v>
      </c>
      <c r="E148" s="6" t="s">
        <v>55</v>
      </c>
      <c r="F148" s="6" t="s">
        <v>28</v>
      </c>
      <c r="G148" s="6" t="s">
        <v>23</v>
      </c>
      <c r="H148" s="7">
        <v>45069.0</v>
      </c>
      <c r="I148" s="8">
        <v>129.0</v>
      </c>
      <c r="J148" s="8">
        <v>131.38</v>
      </c>
      <c r="K148" s="8">
        <v>298.99</v>
      </c>
    </row>
    <row r="149">
      <c r="B149" s="6" t="s">
        <v>185</v>
      </c>
      <c r="C149" s="6" t="s">
        <v>20</v>
      </c>
      <c r="D149" s="6" t="s">
        <v>15</v>
      </c>
      <c r="E149" s="6" t="s">
        <v>16</v>
      </c>
      <c r="F149" s="6" t="s">
        <v>17</v>
      </c>
      <c r="G149" s="6" t="s">
        <v>33</v>
      </c>
      <c r="H149" s="7">
        <v>45070.0</v>
      </c>
      <c r="I149" s="8">
        <v>219.0</v>
      </c>
      <c r="J149" s="8">
        <v>332.51</v>
      </c>
      <c r="K149" s="8">
        <v>264.3</v>
      </c>
    </row>
    <row r="150">
      <c r="B150" s="6" t="s">
        <v>186</v>
      </c>
      <c r="C150" s="6" t="s">
        <v>20</v>
      </c>
      <c r="D150" s="6" t="s">
        <v>15</v>
      </c>
      <c r="E150" s="6" t="s">
        <v>16</v>
      </c>
      <c r="F150" s="6" t="s">
        <v>28</v>
      </c>
      <c r="G150" s="6" t="s">
        <v>33</v>
      </c>
      <c r="H150" s="7">
        <v>45071.0</v>
      </c>
      <c r="I150" s="8">
        <v>315.0</v>
      </c>
      <c r="J150" s="8">
        <v>489.42</v>
      </c>
      <c r="K150" s="8">
        <v>321.25</v>
      </c>
    </row>
    <row r="151">
      <c r="B151" s="6" t="s">
        <v>187</v>
      </c>
      <c r="C151" s="6" t="s">
        <v>14</v>
      </c>
      <c r="D151" s="6" t="s">
        <v>15</v>
      </c>
      <c r="E151" s="6" t="s">
        <v>32</v>
      </c>
      <c r="F151" s="6" t="s">
        <v>17</v>
      </c>
      <c r="G151" s="6" t="s">
        <v>33</v>
      </c>
      <c r="H151" s="7">
        <v>45072.0</v>
      </c>
      <c r="I151" s="8">
        <v>279.0</v>
      </c>
      <c r="J151" s="8">
        <v>190.28</v>
      </c>
      <c r="K151" s="8">
        <v>43.94</v>
      </c>
    </row>
    <row r="152">
      <c r="B152" s="6" t="s">
        <v>188</v>
      </c>
      <c r="C152" s="6" t="s">
        <v>14</v>
      </c>
      <c r="D152" s="6" t="s">
        <v>63</v>
      </c>
      <c r="E152" s="6" t="s">
        <v>27</v>
      </c>
      <c r="F152" s="6" t="s">
        <v>28</v>
      </c>
      <c r="G152" s="6" t="s">
        <v>23</v>
      </c>
      <c r="H152" s="7">
        <v>45073.0</v>
      </c>
      <c r="I152" s="8">
        <v>201.0</v>
      </c>
      <c r="J152" s="8">
        <v>13.67</v>
      </c>
      <c r="K152" s="8">
        <v>16.16</v>
      </c>
    </row>
    <row r="153">
      <c r="B153" s="6" t="s">
        <v>189</v>
      </c>
      <c r="C153" s="6" t="s">
        <v>14</v>
      </c>
      <c r="D153" s="6" t="s">
        <v>15</v>
      </c>
      <c r="E153" s="6" t="s">
        <v>27</v>
      </c>
      <c r="F153" s="6" t="s">
        <v>17</v>
      </c>
      <c r="G153" s="6" t="s">
        <v>18</v>
      </c>
      <c r="H153" s="7">
        <v>45074.0</v>
      </c>
      <c r="I153" s="8">
        <v>184.0</v>
      </c>
      <c r="J153" s="8">
        <v>125.85</v>
      </c>
      <c r="K153" s="8">
        <v>204.41</v>
      </c>
    </row>
    <row r="154">
      <c r="B154" s="6" t="s">
        <v>190</v>
      </c>
      <c r="C154" s="6" t="s">
        <v>26</v>
      </c>
      <c r="D154" s="6" t="s">
        <v>63</v>
      </c>
      <c r="E154" s="6" t="s">
        <v>22</v>
      </c>
      <c r="F154" s="6" t="s">
        <v>28</v>
      </c>
      <c r="G154" s="6" t="s">
        <v>23</v>
      </c>
      <c r="H154" s="7">
        <v>45075.0</v>
      </c>
      <c r="I154" s="8">
        <v>294.0</v>
      </c>
      <c r="J154" s="8">
        <v>416.28</v>
      </c>
      <c r="K154" s="8">
        <v>156.26</v>
      </c>
    </row>
    <row r="155">
      <c r="B155" s="6" t="s">
        <v>191</v>
      </c>
      <c r="C155" s="6" t="s">
        <v>20</v>
      </c>
      <c r="D155" s="6" t="s">
        <v>15</v>
      </c>
      <c r="E155" s="6" t="s">
        <v>32</v>
      </c>
      <c r="F155" s="6" t="s">
        <v>17</v>
      </c>
      <c r="G155" s="6" t="s">
        <v>23</v>
      </c>
      <c r="H155" s="7">
        <v>45076.0</v>
      </c>
      <c r="I155" s="8">
        <v>213.0</v>
      </c>
      <c r="J155" s="8">
        <v>432.98</v>
      </c>
      <c r="K155" s="8">
        <v>185.85</v>
      </c>
    </row>
    <row r="156">
      <c r="B156" s="6" t="s">
        <v>192</v>
      </c>
      <c r="C156" s="6" t="s">
        <v>14</v>
      </c>
      <c r="D156" s="6" t="s">
        <v>39</v>
      </c>
      <c r="E156" s="6" t="s">
        <v>32</v>
      </c>
      <c r="F156" s="6" t="s">
        <v>28</v>
      </c>
      <c r="G156" s="6" t="s">
        <v>18</v>
      </c>
      <c r="H156" s="7">
        <v>45077.0</v>
      </c>
      <c r="I156" s="8">
        <v>173.0</v>
      </c>
      <c r="J156" s="8">
        <v>385.42</v>
      </c>
      <c r="K156" s="8">
        <v>396.65</v>
      </c>
    </row>
    <row r="157">
      <c r="B157" s="6" t="s">
        <v>193</v>
      </c>
      <c r="C157" s="6" t="s">
        <v>14</v>
      </c>
      <c r="D157" s="6" t="s">
        <v>15</v>
      </c>
      <c r="E157" s="6" t="s">
        <v>32</v>
      </c>
      <c r="F157" s="6" t="s">
        <v>17</v>
      </c>
      <c r="G157" s="6" t="s">
        <v>18</v>
      </c>
      <c r="H157" s="7">
        <v>45078.0</v>
      </c>
      <c r="I157" s="8">
        <v>260.0</v>
      </c>
      <c r="J157" s="8">
        <v>60.99</v>
      </c>
      <c r="K157" s="8">
        <v>388.36</v>
      </c>
    </row>
    <row r="158">
      <c r="B158" s="6" t="s">
        <v>194</v>
      </c>
      <c r="C158" s="6" t="s">
        <v>26</v>
      </c>
      <c r="D158" s="6" t="s">
        <v>63</v>
      </c>
      <c r="E158" s="6" t="s">
        <v>32</v>
      </c>
      <c r="F158" s="6" t="s">
        <v>28</v>
      </c>
      <c r="G158" s="6" t="s">
        <v>18</v>
      </c>
      <c r="H158" s="7">
        <v>45079.0</v>
      </c>
      <c r="I158" s="8">
        <v>236.0</v>
      </c>
      <c r="J158" s="8">
        <v>398.78</v>
      </c>
      <c r="K158" s="8">
        <v>377.04</v>
      </c>
    </row>
    <row r="159">
      <c r="B159" s="6" t="s">
        <v>195</v>
      </c>
      <c r="C159" s="6" t="s">
        <v>14</v>
      </c>
      <c r="D159" s="6" t="s">
        <v>31</v>
      </c>
      <c r="E159" s="6" t="s">
        <v>27</v>
      </c>
      <c r="F159" s="6" t="s">
        <v>17</v>
      </c>
      <c r="G159" s="6" t="s">
        <v>33</v>
      </c>
      <c r="H159" s="7">
        <v>45080.0</v>
      </c>
      <c r="I159" s="8">
        <v>445.0</v>
      </c>
      <c r="J159" s="8">
        <v>459.75</v>
      </c>
      <c r="K159" s="8">
        <v>313.97</v>
      </c>
    </row>
    <row r="160">
      <c r="B160" s="6" t="s">
        <v>196</v>
      </c>
      <c r="C160" s="6" t="s">
        <v>26</v>
      </c>
      <c r="D160" s="6" t="s">
        <v>15</v>
      </c>
      <c r="E160" s="6" t="s">
        <v>27</v>
      </c>
      <c r="F160" s="6" t="s">
        <v>28</v>
      </c>
      <c r="G160" s="6" t="s">
        <v>18</v>
      </c>
      <c r="H160" s="7">
        <v>45081.0</v>
      </c>
      <c r="I160" s="8">
        <v>390.0</v>
      </c>
      <c r="J160" s="8">
        <v>302.3</v>
      </c>
      <c r="K160" s="8">
        <v>143.23</v>
      </c>
    </row>
    <row r="161">
      <c r="B161" s="6" t="s">
        <v>197</v>
      </c>
      <c r="C161" s="6" t="s">
        <v>61</v>
      </c>
      <c r="D161" s="6" t="s">
        <v>31</v>
      </c>
      <c r="E161" s="6" t="s">
        <v>32</v>
      </c>
      <c r="F161" s="6" t="s">
        <v>17</v>
      </c>
      <c r="G161" s="6" t="s">
        <v>23</v>
      </c>
      <c r="H161" s="7">
        <v>45082.0</v>
      </c>
      <c r="I161" s="8">
        <v>469.0</v>
      </c>
      <c r="J161" s="8">
        <v>470.73</v>
      </c>
      <c r="K161" s="8">
        <v>166.03</v>
      </c>
    </row>
    <row r="162">
      <c r="B162" s="6" t="s">
        <v>198</v>
      </c>
      <c r="C162" s="6" t="s">
        <v>14</v>
      </c>
      <c r="D162" s="6" t="s">
        <v>39</v>
      </c>
      <c r="E162" s="6" t="s">
        <v>22</v>
      </c>
      <c r="F162" s="6" t="s">
        <v>17</v>
      </c>
      <c r="G162" s="6" t="s">
        <v>18</v>
      </c>
      <c r="H162" s="7">
        <v>45083.0</v>
      </c>
      <c r="I162" s="8">
        <v>16.0</v>
      </c>
      <c r="J162" s="6"/>
      <c r="K162" s="8">
        <v>220.75</v>
      </c>
    </row>
    <row r="163">
      <c r="B163" s="6" t="s">
        <v>199</v>
      </c>
      <c r="C163" s="6" t="s">
        <v>61</v>
      </c>
      <c r="D163" s="6" t="s">
        <v>21</v>
      </c>
      <c r="E163" s="6" t="s">
        <v>55</v>
      </c>
      <c r="F163" s="6" t="s">
        <v>28</v>
      </c>
      <c r="G163" s="6" t="s">
        <v>23</v>
      </c>
      <c r="H163" s="7">
        <v>45084.0</v>
      </c>
      <c r="I163" s="8">
        <v>38.0</v>
      </c>
      <c r="J163" s="8">
        <v>335.15</v>
      </c>
      <c r="K163" s="8">
        <v>332.55</v>
      </c>
    </row>
    <row r="164">
      <c r="B164" s="6" t="s">
        <v>200</v>
      </c>
      <c r="C164" s="6" t="s">
        <v>26</v>
      </c>
      <c r="D164" s="6" t="s">
        <v>39</v>
      </c>
      <c r="E164" s="6"/>
      <c r="F164" s="6" t="s">
        <v>28</v>
      </c>
      <c r="G164" s="6" t="s">
        <v>33</v>
      </c>
      <c r="H164" s="7">
        <v>45085.0</v>
      </c>
      <c r="I164" s="8">
        <v>404.0</v>
      </c>
      <c r="J164" s="8">
        <v>290.71</v>
      </c>
      <c r="K164" s="8">
        <v>29.35</v>
      </c>
    </row>
    <row r="165">
      <c r="B165" s="6" t="s">
        <v>201</v>
      </c>
      <c r="C165" s="6" t="s">
        <v>20</v>
      </c>
      <c r="D165" s="6" t="s">
        <v>15</v>
      </c>
      <c r="E165" s="6" t="s">
        <v>22</v>
      </c>
      <c r="F165" s="6" t="s">
        <v>17</v>
      </c>
      <c r="G165" s="6" t="s">
        <v>23</v>
      </c>
      <c r="H165" s="7">
        <v>45086.0</v>
      </c>
      <c r="I165" s="8">
        <v>42.0</v>
      </c>
      <c r="J165" s="8">
        <v>177.54</v>
      </c>
      <c r="K165" s="8">
        <v>170.87</v>
      </c>
    </row>
    <row r="166">
      <c r="B166" s="6" t="s">
        <v>202</v>
      </c>
      <c r="C166" s="6" t="s">
        <v>14</v>
      </c>
      <c r="D166" s="6" t="s">
        <v>31</v>
      </c>
      <c r="E166" s="6" t="s">
        <v>32</v>
      </c>
      <c r="F166" s="6" t="s">
        <v>28</v>
      </c>
      <c r="G166" s="6" t="s">
        <v>23</v>
      </c>
      <c r="H166" s="7">
        <v>45087.0</v>
      </c>
      <c r="I166" s="8">
        <v>143.0</v>
      </c>
      <c r="J166" s="8">
        <v>83.85</v>
      </c>
      <c r="K166" s="8">
        <v>34.88</v>
      </c>
    </row>
    <row r="167">
      <c r="B167" s="6" t="s">
        <v>203</v>
      </c>
      <c r="C167" s="6" t="s">
        <v>26</v>
      </c>
      <c r="D167" s="6" t="s">
        <v>31</v>
      </c>
      <c r="E167" s="6" t="s">
        <v>27</v>
      </c>
      <c r="F167" s="6" t="s">
        <v>17</v>
      </c>
      <c r="G167" s="6" t="s">
        <v>18</v>
      </c>
      <c r="H167" s="7">
        <v>45088.0</v>
      </c>
      <c r="I167" s="8">
        <v>376.0</v>
      </c>
      <c r="J167" s="8">
        <v>304.45</v>
      </c>
      <c r="K167" s="8">
        <v>206.83</v>
      </c>
    </row>
    <row r="168">
      <c r="B168" s="6" t="s">
        <v>204</v>
      </c>
      <c r="C168" s="6" t="s">
        <v>20</v>
      </c>
      <c r="D168" s="6" t="s">
        <v>63</v>
      </c>
      <c r="E168" s="6" t="s">
        <v>55</v>
      </c>
      <c r="F168" s="6" t="s">
        <v>17</v>
      </c>
      <c r="G168" s="6" t="s">
        <v>18</v>
      </c>
      <c r="H168" s="7">
        <v>45089.0</v>
      </c>
      <c r="I168" s="8">
        <v>88.0</v>
      </c>
      <c r="J168" s="8">
        <v>162.47</v>
      </c>
      <c r="K168" s="8">
        <v>359.76</v>
      </c>
    </row>
    <row r="169">
      <c r="B169" s="6" t="s">
        <v>205</v>
      </c>
      <c r="C169" s="6" t="s">
        <v>20</v>
      </c>
      <c r="D169" s="6" t="s">
        <v>31</v>
      </c>
      <c r="E169" s="6" t="s">
        <v>16</v>
      </c>
      <c r="F169" s="6" t="s">
        <v>17</v>
      </c>
      <c r="G169" s="6" t="s">
        <v>23</v>
      </c>
      <c r="H169" s="7">
        <v>45090.0</v>
      </c>
      <c r="I169" s="8">
        <v>425.0</v>
      </c>
      <c r="J169" s="8">
        <v>433.89</v>
      </c>
      <c r="K169" s="8">
        <v>313.43</v>
      </c>
    </row>
    <row r="170">
      <c r="B170" s="6" t="s">
        <v>206</v>
      </c>
      <c r="C170" s="6" t="s">
        <v>61</v>
      </c>
      <c r="D170" s="6" t="s">
        <v>63</v>
      </c>
      <c r="E170" s="6" t="s">
        <v>16</v>
      </c>
      <c r="F170" s="6" t="s">
        <v>28</v>
      </c>
      <c r="G170" s="6" t="s">
        <v>18</v>
      </c>
      <c r="H170" s="7">
        <v>45091.0</v>
      </c>
      <c r="I170" s="8">
        <v>444.0</v>
      </c>
      <c r="J170" s="8">
        <v>496.7</v>
      </c>
      <c r="K170" s="8">
        <v>92.68</v>
      </c>
    </row>
    <row r="171">
      <c r="B171" s="6" t="s">
        <v>207</v>
      </c>
      <c r="C171" s="6" t="s">
        <v>26</v>
      </c>
      <c r="D171" s="6" t="s">
        <v>21</v>
      </c>
      <c r="E171" s="6" t="s">
        <v>22</v>
      </c>
      <c r="F171" s="6" t="s">
        <v>17</v>
      </c>
      <c r="G171" s="6" t="s">
        <v>33</v>
      </c>
      <c r="H171" s="7">
        <v>45092.0</v>
      </c>
      <c r="I171" s="8">
        <v>468.0</v>
      </c>
      <c r="J171" s="8">
        <v>377.45</v>
      </c>
      <c r="K171" s="8">
        <v>390.44</v>
      </c>
    </row>
    <row r="172">
      <c r="B172" s="6" t="s">
        <v>208</v>
      </c>
      <c r="C172" s="6" t="s">
        <v>20</v>
      </c>
      <c r="D172" s="6" t="s">
        <v>15</v>
      </c>
      <c r="E172" s="6" t="s">
        <v>32</v>
      </c>
      <c r="F172" s="6" t="s">
        <v>17</v>
      </c>
      <c r="G172" s="6" t="s">
        <v>33</v>
      </c>
      <c r="H172" s="7">
        <v>45093.0</v>
      </c>
      <c r="I172" s="8">
        <v>67.0</v>
      </c>
      <c r="J172" s="8">
        <v>49.79</v>
      </c>
      <c r="K172" s="8">
        <v>267.61</v>
      </c>
    </row>
    <row r="173">
      <c r="B173" s="6" t="s">
        <v>209</v>
      </c>
      <c r="C173" s="6" t="s">
        <v>14</v>
      </c>
      <c r="D173" s="6" t="s">
        <v>63</v>
      </c>
      <c r="E173" s="6" t="s">
        <v>55</v>
      </c>
      <c r="F173" s="6" t="s">
        <v>28</v>
      </c>
      <c r="G173" s="6" t="s">
        <v>18</v>
      </c>
      <c r="H173" s="7">
        <v>45094.0</v>
      </c>
      <c r="I173" s="8">
        <v>480.0</v>
      </c>
      <c r="J173" s="8">
        <v>147.9</v>
      </c>
      <c r="K173" s="8">
        <v>6.15</v>
      </c>
    </row>
    <row r="174">
      <c r="B174" s="6" t="s">
        <v>210</v>
      </c>
      <c r="C174" s="6" t="s">
        <v>14</v>
      </c>
      <c r="D174" s="6" t="s">
        <v>21</v>
      </c>
      <c r="E174" s="6" t="s">
        <v>32</v>
      </c>
      <c r="F174" s="6" t="s">
        <v>28</v>
      </c>
      <c r="G174" s="6" t="s">
        <v>33</v>
      </c>
      <c r="H174" s="7">
        <v>45095.0</v>
      </c>
      <c r="I174" s="8">
        <v>35.0</v>
      </c>
      <c r="J174" s="8">
        <v>59.01</v>
      </c>
      <c r="K174" s="8">
        <v>103.65</v>
      </c>
    </row>
    <row r="175">
      <c r="B175" s="6" t="s">
        <v>211</v>
      </c>
      <c r="C175" s="6" t="s">
        <v>61</v>
      </c>
      <c r="D175" s="6" t="s">
        <v>31</v>
      </c>
      <c r="E175" s="6" t="s">
        <v>55</v>
      </c>
      <c r="F175" s="6" t="s">
        <v>28</v>
      </c>
      <c r="G175" s="6" t="s">
        <v>18</v>
      </c>
      <c r="H175" s="7">
        <v>45096.0</v>
      </c>
      <c r="I175" s="8">
        <v>491.0</v>
      </c>
      <c r="J175" s="8">
        <v>327.0</v>
      </c>
      <c r="K175" s="8">
        <v>105.76</v>
      </c>
    </row>
    <row r="176">
      <c r="B176" s="6" t="s">
        <v>212</v>
      </c>
      <c r="C176" s="6" t="s">
        <v>20</v>
      </c>
      <c r="D176" s="6" t="s">
        <v>31</v>
      </c>
      <c r="E176" s="6" t="s">
        <v>22</v>
      </c>
      <c r="F176" s="6" t="s">
        <v>28</v>
      </c>
      <c r="G176" s="6" t="s">
        <v>23</v>
      </c>
      <c r="H176" s="7">
        <v>45097.0</v>
      </c>
      <c r="I176" s="8">
        <v>439.0</v>
      </c>
      <c r="J176" s="8">
        <v>383.77</v>
      </c>
      <c r="K176" s="8">
        <v>29.56</v>
      </c>
    </row>
    <row r="177">
      <c r="B177" s="6" t="s">
        <v>213</v>
      </c>
      <c r="C177" s="6" t="s">
        <v>26</v>
      </c>
      <c r="D177" s="6" t="s">
        <v>21</v>
      </c>
      <c r="E177" s="6" t="s">
        <v>22</v>
      </c>
      <c r="F177" s="6" t="s">
        <v>17</v>
      </c>
      <c r="G177" s="6" t="s">
        <v>23</v>
      </c>
      <c r="H177" s="7">
        <v>45098.0</v>
      </c>
      <c r="I177" s="8">
        <v>235.0</v>
      </c>
      <c r="J177" s="8">
        <v>463.21</v>
      </c>
      <c r="K177" s="8">
        <v>384.01</v>
      </c>
    </row>
    <row r="178">
      <c r="B178" s="6" t="s">
        <v>214</v>
      </c>
      <c r="C178" s="6" t="s">
        <v>14</v>
      </c>
      <c r="D178" s="6" t="s">
        <v>31</v>
      </c>
      <c r="E178" s="6" t="s">
        <v>16</v>
      </c>
      <c r="F178" s="6" t="s">
        <v>17</v>
      </c>
      <c r="G178" s="6" t="s">
        <v>33</v>
      </c>
      <c r="H178" s="7">
        <v>45099.0</v>
      </c>
      <c r="I178" s="8">
        <v>294.0</v>
      </c>
      <c r="J178" s="8">
        <v>221.9</v>
      </c>
      <c r="K178" s="8">
        <v>192.35</v>
      </c>
    </row>
    <row r="179">
      <c r="B179" s="6" t="s">
        <v>215</v>
      </c>
      <c r="C179" s="6" t="s">
        <v>20</v>
      </c>
      <c r="D179" s="6" t="s">
        <v>21</v>
      </c>
      <c r="E179" s="6" t="s">
        <v>32</v>
      </c>
      <c r="F179" s="6" t="s">
        <v>17</v>
      </c>
      <c r="G179" s="6" t="s">
        <v>18</v>
      </c>
      <c r="H179" s="7">
        <v>45100.0</v>
      </c>
      <c r="I179" s="8">
        <v>13.0</v>
      </c>
      <c r="J179" s="8">
        <v>451.18</v>
      </c>
      <c r="K179" s="8">
        <v>358.53</v>
      </c>
    </row>
    <row r="180">
      <c r="B180" s="6" t="s">
        <v>216</v>
      </c>
      <c r="C180" s="6" t="s">
        <v>20</v>
      </c>
      <c r="D180" s="6" t="s">
        <v>63</v>
      </c>
      <c r="E180" s="6" t="s">
        <v>16</v>
      </c>
      <c r="F180" s="6" t="s">
        <v>17</v>
      </c>
      <c r="G180" s="6" t="s">
        <v>18</v>
      </c>
      <c r="H180" s="7">
        <v>45101.0</v>
      </c>
      <c r="I180" s="8">
        <v>474.0</v>
      </c>
      <c r="J180" s="8">
        <v>439.56</v>
      </c>
      <c r="K180" s="8">
        <v>130.24</v>
      </c>
    </row>
    <row r="181">
      <c r="B181" s="6" t="s">
        <v>217</v>
      </c>
      <c r="C181" s="6" t="s">
        <v>61</v>
      </c>
      <c r="D181" s="6" t="s">
        <v>63</v>
      </c>
      <c r="E181" s="6" t="s">
        <v>32</v>
      </c>
      <c r="F181" s="6" t="s">
        <v>28</v>
      </c>
      <c r="G181" s="6" t="s">
        <v>33</v>
      </c>
      <c r="H181" s="7">
        <v>45102.0</v>
      </c>
      <c r="I181" s="8">
        <v>108.0</v>
      </c>
      <c r="J181" s="8">
        <v>162.01</v>
      </c>
      <c r="K181" s="8">
        <v>51.84</v>
      </c>
    </row>
    <row r="182">
      <c r="B182" s="6" t="s">
        <v>218</v>
      </c>
      <c r="C182" s="6" t="s">
        <v>14</v>
      </c>
      <c r="D182" s="6" t="s">
        <v>21</v>
      </c>
      <c r="E182" s="6" t="s">
        <v>16</v>
      </c>
      <c r="F182" s="6" t="s">
        <v>17</v>
      </c>
      <c r="G182" s="6" t="s">
        <v>23</v>
      </c>
      <c r="H182" s="7">
        <v>45103.0</v>
      </c>
      <c r="I182" s="8">
        <v>406.0</v>
      </c>
      <c r="J182" s="8">
        <v>435.11</v>
      </c>
      <c r="K182" s="8">
        <v>190.79</v>
      </c>
    </row>
    <row r="183">
      <c r="B183" s="6" t="s">
        <v>219</v>
      </c>
      <c r="C183" s="6" t="s">
        <v>14</v>
      </c>
      <c r="D183" s="6" t="s">
        <v>63</v>
      </c>
      <c r="E183" s="6" t="s">
        <v>27</v>
      </c>
      <c r="F183" s="6" t="s">
        <v>17</v>
      </c>
      <c r="G183" s="6" t="s">
        <v>33</v>
      </c>
      <c r="H183" s="7">
        <v>45104.0</v>
      </c>
      <c r="I183" s="8">
        <v>498.0</v>
      </c>
      <c r="J183" s="8">
        <v>190.96</v>
      </c>
      <c r="K183" s="8">
        <v>47.35</v>
      </c>
    </row>
    <row r="184">
      <c r="B184" s="6" t="s">
        <v>220</v>
      </c>
      <c r="C184" s="6" t="s">
        <v>26</v>
      </c>
      <c r="D184" s="6" t="s">
        <v>63</v>
      </c>
      <c r="E184" s="6" t="s">
        <v>27</v>
      </c>
      <c r="F184" s="6" t="s">
        <v>28</v>
      </c>
      <c r="G184" s="6" t="s">
        <v>23</v>
      </c>
      <c r="H184" s="7">
        <v>45105.0</v>
      </c>
      <c r="I184" s="8">
        <v>48.0</v>
      </c>
      <c r="J184" s="8">
        <v>151.95</v>
      </c>
      <c r="K184" s="8">
        <v>195.43</v>
      </c>
    </row>
    <row r="185">
      <c r="B185" s="6" t="s">
        <v>221</v>
      </c>
      <c r="C185" s="6" t="s">
        <v>14</v>
      </c>
      <c r="D185" s="6" t="s">
        <v>63</v>
      </c>
      <c r="E185" s="6" t="s">
        <v>27</v>
      </c>
      <c r="F185" s="6" t="s">
        <v>17</v>
      </c>
      <c r="G185" s="6" t="s">
        <v>18</v>
      </c>
      <c r="H185" s="7">
        <v>45106.0</v>
      </c>
      <c r="I185" s="8">
        <v>280.0</v>
      </c>
      <c r="J185" s="8">
        <v>326.29</v>
      </c>
      <c r="K185" s="8">
        <v>368.28</v>
      </c>
    </row>
    <row r="186">
      <c r="B186" s="6" t="s">
        <v>222</v>
      </c>
      <c r="C186" s="6" t="s">
        <v>26</v>
      </c>
      <c r="D186" s="6" t="s">
        <v>39</v>
      </c>
      <c r="E186" s="6" t="s">
        <v>27</v>
      </c>
      <c r="F186" s="6" t="s">
        <v>17</v>
      </c>
      <c r="G186" s="6" t="s">
        <v>23</v>
      </c>
      <c r="H186" s="7">
        <v>45107.0</v>
      </c>
      <c r="I186" s="8">
        <v>384.0</v>
      </c>
      <c r="J186" s="8">
        <v>167.55</v>
      </c>
      <c r="K186" s="8">
        <v>209.27</v>
      </c>
    </row>
    <row r="187">
      <c r="B187" s="6" t="s">
        <v>223</v>
      </c>
      <c r="C187" s="6" t="s">
        <v>14</v>
      </c>
      <c r="D187" s="6" t="s">
        <v>15</v>
      </c>
      <c r="E187" s="6" t="s">
        <v>55</v>
      </c>
      <c r="F187" s="6" t="s">
        <v>17</v>
      </c>
      <c r="G187" s="6" t="s">
        <v>33</v>
      </c>
      <c r="H187" s="7">
        <v>45108.0</v>
      </c>
      <c r="I187" s="8">
        <v>294.0</v>
      </c>
      <c r="J187" s="8">
        <v>316.95</v>
      </c>
      <c r="K187" s="8">
        <v>247.37</v>
      </c>
    </row>
    <row r="188">
      <c r="B188" s="6" t="s">
        <v>224</v>
      </c>
      <c r="C188" s="6" t="s">
        <v>61</v>
      </c>
      <c r="D188" s="6" t="s">
        <v>31</v>
      </c>
      <c r="E188" s="6" t="s">
        <v>27</v>
      </c>
      <c r="F188" s="6" t="s">
        <v>17</v>
      </c>
      <c r="G188" s="6" t="s">
        <v>18</v>
      </c>
      <c r="H188" s="7">
        <v>45109.0</v>
      </c>
      <c r="I188" s="8">
        <v>166.0</v>
      </c>
      <c r="J188" s="8">
        <v>306.87</v>
      </c>
      <c r="K188" s="8">
        <v>64.34</v>
      </c>
    </row>
    <row r="189">
      <c r="B189" s="6" t="s">
        <v>225</v>
      </c>
      <c r="C189" s="6" t="s">
        <v>14</v>
      </c>
      <c r="D189" s="6" t="s">
        <v>39</v>
      </c>
      <c r="E189" s="6" t="s">
        <v>22</v>
      </c>
      <c r="F189" s="6" t="s">
        <v>17</v>
      </c>
      <c r="G189" s="6" t="s">
        <v>33</v>
      </c>
      <c r="H189" s="7">
        <v>45110.0</v>
      </c>
      <c r="I189" s="8">
        <v>84.0</v>
      </c>
      <c r="J189" s="8">
        <v>283.9</v>
      </c>
      <c r="K189" s="8">
        <v>19.41</v>
      </c>
    </row>
    <row r="190">
      <c r="B190" s="6" t="s">
        <v>226</v>
      </c>
      <c r="C190" s="6" t="s">
        <v>26</v>
      </c>
      <c r="D190" s="6" t="s">
        <v>63</v>
      </c>
      <c r="E190" s="6" t="s">
        <v>22</v>
      </c>
      <c r="F190" s="6" t="s">
        <v>17</v>
      </c>
      <c r="G190" s="6" t="s">
        <v>33</v>
      </c>
      <c r="H190" s="7">
        <v>45111.0</v>
      </c>
      <c r="I190" s="8">
        <v>381.0</v>
      </c>
      <c r="J190" s="8">
        <v>193.31</v>
      </c>
      <c r="K190" s="8">
        <v>46.1</v>
      </c>
    </row>
    <row r="191">
      <c r="B191" s="6" t="s">
        <v>227</v>
      </c>
      <c r="C191" s="6" t="s">
        <v>26</v>
      </c>
      <c r="D191" s="6" t="s">
        <v>21</v>
      </c>
      <c r="E191" s="6" t="s">
        <v>55</v>
      </c>
      <c r="F191" s="6" t="s">
        <v>28</v>
      </c>
      <c r="G191" s="6" t="s">
        <v>23</v>
      </c>
      <c r="H191" s="7">
        <v>45112.0</v>
      </c>
      <c r="I191" s="8">
        <v>297.0</v>
      </c>
      <c r="J191" s="8">
        <v>276.51</v>
      </c>
      <c r="K191" s="8">
        <v>240.22</v>
      </c>
    </row>
    <row r="192">
      <c r="B192" s="6" t="s">
        <v>228</v>
      </c>
      <c r="C192" s="6" t="s">
        <v>61</v>
      </c>
      <c r="D192" s="6" t="s">
        <v>63</v>
      </c>
      <c r="E192" s="6" t="s">
        <v>27</v>
      </c>
      <c r="F192" s="6" t="s">
        <v>28</v>
      </c>
      <c r="G192" s="6" t="s">
        <v>33</v>
      </c>
      <c r="H192" s="7">
        <v>45113.0</v>
      </c>
      <c r="I192" s="8">
        <v>139.0</v>
      </c>
      <c r="J192" s="8">
        <v>300.26</v>
      </c>
      <c r="K192" s="8">
        <v>39.81</v>
      </c>
    </row>
    <row r="193">
      <c r="B193" s="6" t="s">
        <v>229</v>
      </c>
      <c r="C193" s="6" t="s">
        <v>14</v>
      </c>
      <c r="D193" s="6" t="s">
        <v>15</v>
      </c>
      <c r="E193" s="6" t="s">
        <v>27</v>
      </c>
      <c r="F193" s="6" t="s">
        <v>17</v>
      </c>
      <c r="G193" s="6" t="s">
        <v>23</v>
      </c>
      <c r="H193" s="7">
        <v>45114.0</v>
      </c>
      <c r="I193" s="8">
        <v>184.0</v>
      </c>
      <c r="J193" s="8">
        <v>275.12</v>
      </c>
      <c r="K193" s="8">
        <v>151.65</v>
      </c>
    </row>
    <row r="194">
      <c r="B194" s="6" t="s">
        <v>230</v>
      </c>
      <c r="C194" s="6" t="s">
        <v>14</v>
      </c>
      <c r="D194" s="6" t="s">
        <v>63</v>
      </c>
      <c r="E194" s="6" t="s">
        <v>27</v>
      </c>
      <c r="F194" s="6" t="s">
        <v>17</v>
      </c>
      <c r="G194" s="6" t="s">
        <v>18</v>
      </c>
      <c r="H194" s="7">
        <v>45115.0</v>
      </c>
      <c r="I194" s="8">
        <v>471.0</v>
      </c>
      <c r="J194" s="8">
        <v>224.99</v>
      </c>
      <c r="K194" s="8">
        <v>220.94</v>
      </c>
    </row>
    <row r="195">
      <c r="B195" s="6" t="s">
        <v>231</v>
      </c>
      <c r="C195" s="6" t="s">
        <v>61</v>
      </c>
      <c r="D195" s="6" t="s">
        <v>21</v>
      </c>
      <c r="E195" s="6" t="s">
        <v>16</v>
      </c>
      <c r="F195" s="6" t="s">
        <v>28</v>
      </c>
      <c r="G195" s="6" t="s">
        <v>23</v>
      </c>
      <c r="H195" s="7">
        <v>45116.0</v>
      </c>
      <c r="I195" s="8">
        <v>93.0</v>
      </c>
      <c r="J195" s="8">
        <v>12.26</v>
      </c>
      <c r="K195" s="8">
        <v>156.68</v>
      </c>
    </row>
    <row r="196">
      <c r="B196" s="6" t="s">
        <v>232</v>
      </c>
      <c r="C196" s="6" t="s">
        <v>14</v>
      </c>
      <c r="D196" s="6" t="s">
        <v>15</v>
      </c>
      <c r="E196" s="6" t="s">
        <v>32</v>
      </c>
      <c r="F196" s="6" t="s">
        <v>17</v>
      </c>
      <c r="G196" s="6" t="s">
        <v>18</v>
      </c>
      <c r="H196" s="7">
        <v>45117.0</v>
      </c>
      <c r="I196" s="8">
        <v>31.0</v>
      </c>
      <c r="J196" s="8">
        <v>295.6</v>
      </c>
      <c r="K196" s="8">
        <v>67.15</v>
      </c>
    </row>
    <row r="197">
      <c r="B197" s="6" t="s">
        <v>233</v>
      </c>
      <c r="C197" s="6" t="s">
        <v>14</v>
      </c>
      <c r="D197" s="6" t="s">
        <v>63</v>
      </c>
      <c r="E197" s="6" t="s">
        <v>16</v>
      </c>
      <c r="F197" s="6" t="s">
        <v>17</v>
      </c>
      <c r="G197" s="6" t="s">
        <v>23</v>
      </c>
      <c r="H197" s="7">
        <v>45118.0</v>
      </c>
      <c r="I197" s="8">
        <v>468.0</v>
      </c>
      <c r="J197" s="8">
        <v>88.38</v>
      </c>
      <c r="K197" s="8">
        <v>110.97</v>
      </c>
    </row>
    <row r="198">
      <c r="B198" s="6" t="s">
        <v>234</v>
      </c>
      <c r="C198" s="6" t="s">
        <v>26</v>
      </c>
      <c r="D198" s="6" t="s">
        <v>15</v>
      </c>
      <c r="E198" s="6" t="s">
        <v>32</v>
      </c>
      <c r="F198" s="6" t="s">
        <v>17</v>
      </c>
      <c r="G198" s="6" t="s">
        <v>33</v>
      </c>
      <c r="H198" s="7">
        <v>45119.0</v>
      </c>
      <c r="I198" s="8">
        <v>36.0</v>
      </c>
      <c r="J198" s="8">
        <v>323.08</v>
      </c>
      <c r="K198" s="8">
        <v>371.47</v>
      </c>
    </row>
    <row r="199">
      <c r="B199" s="6" t="s">
        <v>235</v>
      </c>
      <c r="C199" s="6" t="s">
        <v>14</v>
      </c>
      <c r="D199" s="6" t="s">
        <v>31</v>
      </c>
      <c r="E199" s="6" t="s">
        <v>27</v>
      </c>
      <c r="F199" s="6" t="s">
        <v>28</v>
      </c>
      <c r="G199" s="6" t="s">
        <v>23</v>
      </c>
      <c r="H199" s="7">
        <v>45120.0</v>
      </c>
      <c r="I199" s="8">
        <v>204.0</v>
      </c>
      <c r="J199" s="8">
        <v>380.88</v>
      </c>
      <c r="K199" s="8">
        <v>271.04</v>
      </c>
    </row>
    <row r="200">
      <c r="B200" s="6" t="s">
        <v>236</v>
      </c>
      <c r="C200" s="6" t="s">
        <v>14</v>
      </c>
      <c r="D200" s="6" t="s">
        <v>31</v>
      </c>
      <c r="E200" s="6" t="s">
        <v>27</v>
      </c>
      <c r="F200" s="6" t="s">
        <v>17</v>
      </c>
      <c r="G200" s="6" t="s">
        <v>23</v>
      </c>
      <c r="H200" s="7">
        <v>45121.0</v>
      </c>
      <c r="I200" s="8">
        <v>346.0</v>
      </c>
      <c r="J200" s="8">
        <v>252.72</v>
      </c>
      <c r="K200" s="8">
        <v>199.43</v>
      </c>
    </row>
    <row r="201">
      <c r="B201" s="6" t="s">
        <v>237</v>
      </c>
      <c r="C201" s="6" t="s">
        <v>61</v>
      </c>
      <c r="D201" s="6" t="s">
        <v>63</v>
      </c>
      <c r="E201" s="6" t="s">
        <v>16</v>
      </c>
      <c r="F201" s="6" t="s">
        <v>28</v>
      </c>
      <c r="G201" s="6" t="s">
        <v>18</v>
      </c>
      <c r="H201" s="7">
        <v>45122.0</v>
      </c>
      <c r="I201" s="8">
        <v>391.0</v>
      </c>
      <c r="J201" s="8">
        <v>273.47</v>
      </c>
      <c r="K201" s="8">
        <v>7.06</v>
      </c>
    </row>
    <row r="202">
      <c r="B202" s="6" t="s">
        <v>238</v>
      </c>
      <c r="C202" s="6" t="s">
        <v>61</v>
      </c>
      <c r="D202" s="6" t="s">
        <v>15</v>
      </c>
      <c r="E202" s="6" t="s">
        <v>16</v>
      </c>
      <c r="F202" s="6" t="s">
        <v>17</v>
      </c>
      <c r="G202" s="6" t="s">
        <v>33</v>
      </c>
      <c r="H202" s="7">
        <v>45123.0</v>
      </c>
      <c r="I202" s="8">
        <v>245.0</v>
      </c>
      <c r="J202" s="8">
        <v>475.98</v>
      </c>
      <c r="K202" s="8">
        <v>396.98</v>
      </c>
    </row>
    <row r="203">
      <c r="B203" s="6" t="s">
        <v>239</v>
      </c>
      <c r="C203" s="6" t="s">
        <v>20</v>
      </c>
      <c r="D203" s="6" t="s">
        <v>21</v>
      </c>
      <c r="E203" s="6" t="s">
        <v>32</v>
      </c>
      <c r="F203" s="6" t="s">
        <v>28</v>
      </c>
      <c r="G203" s="6" t="s">
        <v>23</v>
      </c>
      <c r="H203" s="7">
        <v>45124.0</v>
      </c>
      <c r="I203" s="8">
        <v>449.0</v>
      </c>
      <c r="J203" s="8">
        <v>424.35</v>
      </c>
      <c r="K203" s="8">
        <v>269.24</v>
      </c>
    </row>
    <row r="204">
      <c r="B204" s="6" t="s">
        <v>240</v>
      </c>
      <c r="C204" s="6" t="s">
        <v>26</v>
      </c>
      <c r="D204" s="6" t="s">
        <v>63</v>
      </c>
      <c r="E204" s="6" t="s">
        <v>22</v>
      </c>
      <c r="F204" s="6" t="s">
        <v>28</v>
      </c>
      <c r="G204" s="6" t="s">
        <v>33</v>
      </c>
      <c r="H204" s="7">
        <v>45125.0</v>
      </c>
      <c r="I204" s="8">
        <v>101.0</v>
      </c>
      <c r="J204" s="8">
        <v>457.55</v>
      </c>
      <c r="K204" s="8">
        <v>128.14</v>
      </c>
    </row>
    <row r="205">
      <c r="B205" s="6" t="s">
        <v>241</v>
      </c>
      <c r="C205" s="6" t="s">
        <v>14</v>
      </c>
      <c r="D205" s="6" t="s">
        <v>31</v>
      </c>
      <c r="E205" s="6" t="s">
        <v>32</v>
      </c>
      <c r="F205" s="6" t="s">
        <v>17</v>
      </c>
      <c r="G205" s="6" t="s">
        <v>23</v>
      </c>
      <c r="H205" s="7">
        <v>45126.0</v>
      </c>
      <c r="I205" s="6"/>
      <c r="J205" s="8">
        <v>407.81</v>
      </c>
      <c r="K205" s="8">
        <v>351.95</v>
      </c>
    </row>
    <row r="206">
      <c r="B206" s="6" t="s">
        <v>242</v>
      </c>
      <c r="C206" s="6" t="s">
        <v>14</v>
      </c>
      <c r="D206" s="6" t="s">
        <v>31</v>
      </c>
      <c r="E206" s="6" t="s">
        <v>16</v>
      </c>
      <c r="F206" s="6" t="s">
        <v>28</v>
      </c>
      <c r="G206" s="6" t="s">
        <v>23</v>
      </c>
      <c r="H206" s="7">
        <v>45127.0</v>
      </c>
      <c r="I206" s="8">
        <v>30.0</v>
      </c>
      <c r="J206" s="8">
        <v>58.91</v>
      </c>
      <c r="K206" s="8">
        <v>104.86</v>
      </c>
    </row>
    <row r="207">
      <c r="B207" s="6" t="s">
        <v>243</v>
      </c>
      <c r="C207" s="6" t="s">
        <v>20</v>
      </c>
      <c r="D207" s="6" t="s">
        <v>63</v>
      </c>
      <c r="E207" s="6" t="s">
        <v>16</v>
      </c>
      <c r="F207" s="6" t="s">
        <v>17</v>
      </c>
      <c r="G207" s="6" t="s">
        <v>33</v>
      </c>
      <c r="H207" s="7">
        <v>45128.0</v>
      </c>
      <c r="I207" s="8">
        <v>312.0</v>
      </c>
      <c r="J207" s="8">
        <v>78.75</v>
      </c>
      <c r="K207" s="8">
        <v>218.52</v>
      </c>
    </row>
    <row r="208">
      <c r="B208" s="6" t="s">
        <v>244</v>
      </c>
      <c r="C208" s="6" t="s">
        <v>14</v>
      </c>
      <c r="D208" s="6" t="s">
        <v>15</v>
      </c>
      <c r="E208" s="6" t="s">
        <v>55</v>
      </c>
      <c r="F208" s="6" t="s">
        <v>28</v>
      </c>
      <c r="G208" s="6" t="s">
        <v>23</v>
      </c>
      <c r="H208" s="7">
        <v>45129.0</v>
      </c>
      <c r="I208" s="8">
        <v>473.0</v>
      </c>
      <c r="J208" s="8">
        <v>265.68</v>
      </c>
      <c r="K208" s="8">
        <v>255.16</v>
      </c>
    </row>
    <row r="209">
      <c r="B209" s="6" t="s">
        <v>245</v>
      </c>
      <c r="C209" s="6" t="s">
        <v>26</v>
      </c>
      <c r="D209" s="6" t="s">
        <v>31</v>
      </c>
      <c r="E209" s="6" t="s">
        <v>16</v>
      </c>
      <c r="F209" s="6" t="s">
        <v>17</v>
      </c>
      <c r="G209" s="6" t="s">
        <v>33</v>
      </c>
      <c r="H209" s="7">
        <v>45130.0</v>
      </c>
      <c r="I209" s="8">
        <v>366.0</v>
      </c>
      <c r="J209" s="8">
        <v>126.8</v>
      </c>
      <c r="K209" s="8">
        <v>89.98</v>
      </c>
    </row>
    <row r="210">
      <c r="B210" s="6" t="s">
        <v>246</v>
      </c>
      <c r="C210" s="6" t="s">
        <v>20</v>
      </c>
      <c r="D210" s="6" t="s">
        <v>15</v>
      </c>
      <c r="E210" s="6" t="s">
        <v>55</v>
      </c>
      <c r="F210" s="6" t="s">
        <v>17</v>
      </c>
      <c r="G210" s="6" t="s">
        <v>23</v>
      </c>
      <c r="H210" s="7">
        <v>45131.0</v>
      </c>
      <c r="I210" s="8">
        <v>452.0</v>
      </c>
      <c r="J210" s="8">
        <v>240.96</v>
      </c>
      <c r="K210" s="8">
        <v>391.4</v>
      </c>
    </row>
    <row r="211">
      <c r="B211" s="6" t="s">
        <v>247</v>
      </c>
      <c r="C211" s="6" t="s">
        <v>26</v>
      </c>
      <c r="D211" s="6" t="s">
        <v>31</v>
      </c>
      <c r="E211" s="6" t="s">
        <v>22</v>
      </c>
      <c r="F211" s="6" t="s">
        <v>28</v>
      </c>
      <c r="G211" s="6" t="s">
        <v>18</v>
      </c>
      <c r="H211" s="7">
        <v>45132.0</v>
      </c>
      <c r="I211" s="8">
        <v>93.0</v>
      </c>
      <c r="J211" s="8">
        <v>200.21</v>
      </c>
      <c r="K211" s="8">
        <v>299.78</v>
      </c>
    </row>
    <row r="212">
      <c r="B212" s="6" t="s">
        <v>248</v>
      </c>
      <c r="C212" s="6" t="s">
        <v>20</v>
      </c>
      <c r="D212" s="6" t="s">
        <v>31</v>
      </c>
      <c r="E212" s="6" t="s">
        <v>32</v>
      </c>
      <c r="F212" s="6" t="s">
        <v>17</v>
      </c>
      <c r="G212" s="6" t="s">
        <v>33</v>
      </c>
      <c r="H212" s="7">
        <v>45133.0</v>
      </c>
      <c r="I212" s="8">
        <v>271.0</v>
      </c>
      <c r="J212" s="8">
        <v>276.96</v>
      </c>
      <c r="K212" s="8">
        <v>224.01</v>
      </c>
    </row>
    <row r="213">
      <c r="B213" s="6" t="s">
        <v>249</v>
      </c>
      <c r="C213" s="6" t="s">
        <v>20</v>
      </c>
      <c r="D213" s="6" t="s">
        <v>39</v>
      </c>
      <c r="E213" s="6" t="s">
        <v>32</v>
      </c>
      <c r="F213" s="6" t="s">
        <v>17</v>
      </c>
      <c r="G213" s="6" t="s">
        <v>23</v>
      </c>
      <c r="H213" s="7">
        <v>45134.0</v>
      </c>
      <c r="I213" s="8">
        <v>156.0</v>
      </c>
      <c r="J213" s="8">
        <v>374.7</v>
      </c>
      <c r="K213" s="8">
        <v>73.88</v>
      </c>
    </row>
    <row r="214">
      <c r="B214" s="6" t="s">
        <v>250</v>
      </c>
      <c r="C214" s="6" t="s">
        <v>61</v>
      </c>
      <c r="D214" s="6" t="s">
        <v>31</v>
      </c>
      <c r="E214" s="6" t="s">
        <v>55</v>
      </c>
      <c r="F214" s="6" t="s">
        <v>28</v>
      </c>
      <c r="G214" s="6" t="s">
        <v>23</v>
      </c>
      <c r="H214" s="7">
        <v>45135.0</v>
      </c>
      <c r="I214" s="8">
        <v>450.0</v>
      </c>
      <c r="J214" s="8">
        <v>359.17</v>
      </c>
      <c r="K214" s="8">
        <v>23.44</v>
      </c>
    </row>
    <row r="215">
      <c r="B215" s="6" t="s">
        <v>251</v>
      </c>
      <c r="C215" s="6" t="s">
        <v>26</v>
      </c>
      <c r="D215" s="6" t="s">
        <v>21</v>
      </c>
      <c r="E215" s="6" t="s">
        <v>32</v>
      </c>
      <c r="F215" s="6" t="s">
        <v>17</v>
      </c>
      <c r="G215" s="6" t="s">
        <v>18</v>
      </c>
      <c r="H215" s="7">
        <v>45136.0</v>
      </c>
      <c r="I215" s="8">
        <v>462.0</v>
      </c>
      <c r="J215" s="8">
        <v>263.01</v>
      </c>
      <c r="K215" s="8">
        <v>129.38</v>
      </c>
    </row>
    <row r="216">
      <c r="B216" s="6" t="s">
        <v>252</v>
      </c>
      <c r="C216" s="6" t="s">
        <v>14</v>
      </c>
      <c r="D216" s="6" t="s">
        <v>63</v>
      </c>
      <c r="E216" s="6"/>
      <c r="F216" s="6" t="s">
        <v>17</v>
      </c>
      <c r="G216" s="6" t="s">
        <v>33</v>
      </c>
      <c r="H216" s="7">
        <v>45137.0</v>
      </c>
      <c r="I216" s="8">
        <v>396.0</v>
      </c>
      <c r="J216" s="8">
        <v>412.08</v>
      </c>
      <c r="K216" s="8">
        <v>301.77</v>
      </c>
    </row>
    <row r="217">
      <c r="B217" s="6" t="s">
        <v>253</v>
      </c>
      <c r="C217" s="6" t="s">
        <v>14</v>
      </c>
      <c r="D217" s="6" t="s">
        <v>63</v>
      </c>
      <c r="E217" s="6" t="s">
        <v>27</v>
      </c>
      <c r="F217" s="6" t="s">
        <v>28</v>
      </c>
      <c r="G217" s="6" t="s">
        <v>23</v>
      </c>
      <c r="H217" s="7">
        <v>45138.0</v>
      </c>
      <c r="I217" s="8">
        <v>266.0</v>
      </c>
      <c r="J217" s="8">
        <v>218.28</v>
      </c>
      <c r="K217" s="8">
        <v>109.19</v>
      </c>
    </row>
    <row r="218">
      <c r="B218" s="6" t="s">
        <v>254</v>
      </c>
      <c r="C218" s="6" t="s">
        <v>26</v>
      </c>
      <c r="D218" s="6" t="s">
        <v>15</v>
      </c>
      <c r="E218" s="6" t="s">
        <v>55</v>
      </c>
      <c r="F218" s="6" t="s">
        <v>28</v>
      </c>
      <c r="G218" s="6" t="s">
        <v>18</v>
      </c>
      <c r="H218" s="7">
        <v>45139.0</v>
      </c>
      <c r="I218" s="8">
        <v>67.0</v>
      </c>
      <c r="J218" s="8">
        <v>448.87</v>
      </c>
      <c r="K218" s="8">
        <v>216.74</v>
      </c>
    </row>
    <row r="219">
      <c r="B219" s="6" t="s">
        <v>255</v>
      </c>
      <c r="C219" s="6" t="s">
        <v>14</v>
      </c>
      <c r="D219" s="6" t="s">
        <v>31</v>
      </c>
      <c r="E219" s="6" t="s">
        <v>32</v>
      </c>
      <c r="F219" s="6" t="s">
        <v>17</v>
      </c>
      <c r="G219" s="6" t="s">
        <v>23</v>
      </c>
      <c r="H219" s="7">
        <v>45140.0</v>
      </c>
      <c r="I219" s="8">
        <v>389.0</v>
      </c>
      <c r="J219" s="8">
        <v>40.28</v>
      </c>
      <c r="K219" s="8">
        <v>291.72</v>
      </c>
    </row>
    <row r="220">
      <c r="B220" s="6" t="s">
        <v>256</v>
      </c>
      <c r="C220" s="6" t="s">
        <v>14</v>
      </c>
      <c r="D220" s="6" t="s">
        <v>21</v>
      </c>
      <c r="E220" s="6" t="s">
        <v>55</v>
      </c>
      <c r="F220" s="6" t="s">
        <v>17</v>
      </c>
      <c r="G220" s="6" t="s">
        <v>33</v>
      </c>
      <c r="H220" s="7">
        <v>45141.0</v>
      </c>
      <c r="I220" s="8">
        <v>431.0</v>
      </c>
      <c r="J220" s="8">
        <v>477.56</v>
      </c>
      <c r="K220" s="8">
        <v>44.96</v>
      </c>
    </row>
    <row r="221">
      <c r="B221" s="6" t="s">
        <v>257</v>
      </c>
      <c r="C221" s="6" t="s">
        <v>26</v>
      </c>
      <c r="D221" s="6" t="s">
        <v>15</v>
      </c>
      <c r="E221" s="6" t="s">
        <v>55</v>
      </c>
      <c r="F221" s="6" t="s">
        <v>28</v>
      </c>
      <c r="G221" s="6" t="s">
        <v>23</v>
      </c>
      <c r="H221" s="7">
        <v>45142.0</v>
      </c>
      <c r="I221" s="8">
        <v>24.0</v>
      </c>
      <c r="J221" s="8">
        <v>329.07</v>
      </c>
      <c r="K221" s="8">
        <v>274.75</v>
      </c>
    </row>
    <row r="222">
      <c r="B222" s="6" t="s">
        <v>258</v>
      </c>
      <c r="C222" s="6" t="s">
        <v>20</v>
      </c>
      <c r="D222" s="6" t="s">
        <v>39</v>
      </c>
      <c r="E222" s="6" t="s">
        <v>27</v>
      </c>
      <c r="F222" s="6" t="s">
        <v>28</v>
      </c>
      <c r="G222" s="6" t="s">
        <v>23</v>
      </c>
      <c r="H222" s="7">
        <v>45143.0</v>
      </c>
      <c r="I222" s="8">
        <v>171.0</v>
      </c>
      <c r="J222" s="8">
        <v>193.14</v>
      </c>
      <c r="K222" s="8">
        <v>38.56</v>
      </c>
    </row>
    <row r="223">
      <c r="B223" s="6" t="s">
        <v>259</v>
      </c>
      <c r="C223" s="6" t="s">
        <v>26</v>
      </c>
      <c r="D223" s="6" t="s">
        <v>15</v>
      </c>
      <c r="E223" s="6" t="s">
        <v>16</v>
      </c>
      <c r="F223" s="6" t="s">
        <v>17</v>
      </c>
      <c r="G223" s="6" t="s">
        <v>23</v>
      </c>
      <c r="H223" s="7">
        <v>45144.0</v>
      </c>
      <c r="I223" s="8">
        <v>454.0</v>
      </c>
      <c r="J223" s="8">
        <v>102.59</v>
      </c>
      <c r="K223" s="8">
        <v>386.12</v>
      </c>
    </row>
    <row r="224">
      <c r="B224" s="6" t="s">
        <v>260</v>
      </c>
      <c r="C224" s="6" t="s">
        <v>20</v>
      </c>
      <c r="D224" s="6" t="s">
        <v>15</v>
      </c>
      <c r="E224" s="6" t="s">
        <v>55</v>
      </c>
      <c r="F224" s="6" t="s">
        <v>28</v>
      </c>
      <c r="G224" s="6" t="s">
        <v>23</v>
      </c>
      <c r="H224" s="7">
        <v>45145.0</v>
      </c>
      <c r="I224" s="8">
        <v>172.0</v>
      </c>
      <c r="J224" s="8">
        <v>242.2</v>
      </c>
      <c r="K224" s="8">
        <v>196.38</v>
      </c>
    </row>
    <row r="225">
      <c r="B225" s="6" t="s">
        <v>261</v>
      </c>
      <c r="C225" s="6" t="s">
        <v>14</v>
      </c>
      <c r="D225" s="6" t="s">
        <v>31</v>
      </c>
      <c r="E225" s="6" t="s">
        <v>32</v>
      </c>
      <c r="F225" s="6" t="s">
        <v>17</v>
      </c>
      <c r="G225" s="6" t="s">
        <v>18</v>
      </c>
      <c r="H225" s="7">
        <v>45146.0</v>
      </c>
      <c r="I225" s="8">
        <v>329.0</v>
      </c>
      <c r="J225" s="8">
        <v>101.31</v>
      </c>
      <c r="K225" s="8">
        <v>61.97</v>
      </c>
    </row>
    <row r="226">
      <c r="B226" s="6" t="s">
        <v>262</v>
      </c>
      <c r="C226" s="6" t="s">
        <v>14</v>
      </c>
      <c r="D226" s="6" t="s">
        <v>39</v>
      </c>
      <c r="E226" s="6" t="s">
        <v>22</v>
      </c>
      <c r="F226" s="6" t="s">
        <v>17</v>
      </c>
      <c r="G226" s="6" t="s">
        <v>18</v>
      </c>
      <c r="H226" s="7">
        <v>45147.0</v>
      </c>
      <c r="I226" s="8">
        <v>290.0</v>
      </c>
      <c r="J226" s="8">
        <v>87.33</v>
      </c>
      <c r="K226" s="8">
        <v>138.27</v>
      </c>
    </row>
    <row r="227">
      <c r="B227" s="6" t="s">
        <v>263</v>
      </c>
      <c r="C227" s="6"/>
      <c r="D227" s="6" t="s">
        <v>15</v>
      </c>
      <c r="E227" s="6" t="s">
        <v>55</v>
      </c>
      <c r="F227" s="6" t="s">
        <v>17</v>
      </c>
      <c r="G227" s="6" t="s">
        <v>33</v>
      </c>
      <c r="H227" s="7">
        <v>45148.0</v>
      </c>
      <c r="I227" s="8">
        <v>289.0</v>
      </c>
      <c r="J227" s="8">
        <v>310.59</v>
      </c>
      <c r="K227" s="8">
        <v>166.54</v>
      </c>
    </row>
    <row r="228">
      <c r="B228" s="6" t="s">
        <v>264</v>
      </c>
      <c r="C228" s="6" t="s">
        <v>61</v>
      </c>
      <c r="D228" s="6" t="s">
        <v>21</v>
      </c>
      <c r="E228" s="6" t="s">
        <v>55</v>
      </c>
      <c r="F228" s="6" t="s">
        <v>17</v>
      </c>
      <c r="G228" s="6" t="s">
        <v>18</v>
      </c>
      <c r="H228" s="7">
        <v>45149.0</v>
      </c>
      <c r="I228" s="8">
        <v>21.0</v>
      </c>
      <c r="J228" s="8">
        <v>263.93</v>
      </c>
      <c r="K228" s="8">
        <v>303.76</v>
      </c>
    </row>
    <row r="229">
      <c r="B229" s="6" t="s">
        <v>265</v>
      </c>
      <c r="C229" s="6" t="s">
        <v>20</v>
      </c>
      <c r="D229" s="6" t="s">
        <v>21</v>
      </c>
      <c r="E229" s="6" t="s">
        <v>27</v>
      </c>
      <c r="F229" s="6" t="s">
        <v>17</v>
      </c>
      <c r="G229" s="6" t="s">
        <v>18</v>
      </c>
      <c r="H229" s="7">
        <v>45150.0</v>
      </c>
      <c r="I229" s="8">
        <v>283.0</v>
      </c>
      <c r="J229" s="8">
        <v>336.7</v>
      </c>
      <c r="K229" s="8">
        <v>297.88</v>
      </c>
    </row>
    <row r="230">
      <c r="B230" s="6" t="s">
        <v>266</v>
      </c>
      <c r="C230" s="6" t="s">
        <v>61</v>
      </c>
      <c r="D230" s="6" t="s">
        <v>63</v>
      </c>
      <c r="E230" s="6" t="s">
        <v>16</v>
      </c>
      <c r="F230" s="6" t="s">
        <v>28</v>
      </c>
      <c r="G230" s="6" t="s">
        <v>33</v>
      </c>
      <c r="H230" s="7">
        <v>45151.0</v>
      </c>
      <c r="I230" s="8">
        <v>280.0</v>
      </c>
      <c r="J230" s="8">
        <v>465.15</v>
      </c>
      <c r="K230" s="8">
        <v>245.55</v>
      </c>
    </row>
    <row r="231">
      <c r="B231" s="6" t="s">
        <v>267</v>
      </c>
      <c r="C231" s="6" t="s">
        <v>61</v>
      </c>
      <c r="D231" s="6" t="s">
        <v>39</v>
      </c>
      <c r="E231" s="6" t="s">
        <v>22</v>
      </c>
      <c r="F231" s="6" t="s">
        <v>28</v>
      </c>
      <c r="G231" s="6" t="s">
        <v>18</v>
      </c>
      <c r="H231" s="7">
        <v>45152.0</v>
      </c>
      <c r="I231" s="8">
        <v>217.0</v>
      </c>
      <c r="J231" s="8">
        <v>268.47</v>
      </c>
      <c r="K231" s="8">
        <v>44.16</v>
      </c>
    </row>
    <row r="232">
      <c r="B232" s="6" t="s">
        <v>268</v>
      </c>
      <c r="C232" s="6" t="s">
        <v>26</v>
      </c>
      <c r="D232" s="6" t="s">
        <v>39</v>
      </c>
      <c r="E232" s="6" t="s">
        <v>32</v>
      </c>
      <c r="F232" s="6" t="s">
        <v>28</v>
      </c>
      <c r="G232" s="6" t="s">
        <v>18</v>
      </c>
      <c r="H232" s="7">
        <v>45153.0</v>
      </c>
      <c r="I232" s="8">
        <v>36.0</v>
      </c>
      <c r="J232" s="8">
        <v>292.56</v>
      </c>
      <c r="K232" s="8">
        <v>62.32</v>
      </c>
    </row>
    <row r="233">
      <c r="B233" s="6" t="s">
        <v>269</v>
      </c>
      <c r="C233" s="6" t="s">
        <v>61</v>
      </c>
      <c r="D233" s="6" t="s">
        <v>63</v>
      </c>
      <c r="E233" s="6" t="s">
        <v>22</v>
      </c>
      <c r="F233" s="6" t="s">
        <v>28</v>
      </c>
      <c r="G233" s="6" t="s">
        <v>33</v>
      </c>
      <c r="H233" s="7">
        <v>45154.0</v>
      </c>
      <c r="I233" s="6"/>
      <c r="J233" s="8">
        <v>49.37</v>
      </c>
      <c r="K233" s="8">
        <v>39.32</v>
      </c>
    </row>
    <row r="234">
      <c r="B234" s="6" t="s">
        <v>270</v>
      </c>
      <c r="C234" s="6" t="s">
        <v>26</v>
      </c>
      <c r="D234" s="6" t="s">
        <v>15</v>
      </c>
      <c r="E234" s="6" t="s">
        <v>32</v>
      </c>
      <c r="F234" s="6" t="s">
        <v>17</v>
      </c>
      <c r="G234" s="6" t="s">
        <v>33</v>
      </c>
      <c r="H234" s="7">
        <v>45155.0</v>
      </c>
      <c r="I234" s="8">
        <v>69.0</v>
      </c>
      <c r="J234" s="8">
        <v>360.23</v>
      </c>
      <c r="K234" s="8">
        <v>231.71</v>
      </c>
    </row>
    <row r="235">
      <c r="B235" s="6" t="s">
        <v>271</v>
      </c>
      <c r="C235" s="6" t="s">
        <v>26</v>
      </c>
      <c r="D235" s="6" t="s">
        <v>39</v>
      </c>
      <c r="E235" s="6" t="s">
        <v>16</v>
      </c>
      <c r="F235" s="6" t="s">
        <v>17</v>
      </c>
      <c r="G235" s="6" t="s">
        <v>33</v>
      </c>
      <c r="H235" s="7">
        <v>45156.0</v>
      </c>
      <c r="I235" s="8">
        <v>439.0</v>
      </c>
      <c r="J235" s="8">
        <v>202.95</v>
      </c>
      <c r="K235" s="8">
        <v>351.1</v>
      </c>
    </row>
    <row r="236">
      <c r="B236" s="6" t="s">
        <v>272</v>
      </c>
      <c r="C236" s="6" t="s">
        <v>61</v>
      </c>
      <c r="D236" s="6" t="s">
        <v>21</v>
      </c>
      <c r="E236" s="6" t="s">
        <v>32</v>
      </c>
      <c r="F236" s="6" t="s">
        <v>17</v>
      </c>
      <c r="G236" s="6" t="s">
        <v>23</v>
      </c>
      <c r="H236" s="7">
        <v>45157.0</v>
      </c>
      <c r="I236" s="8">
        <v>482.0</v>
      </c>
      <c r="J236" s="8">
        <v>488.48</v>
      </c>
      <c r="K236" s="8">
        <v>174.65</v>
      </c>
    </row>
    <row r="237">
      <c r="B237" s="6" t="s">
        <v>273</v>
      </c>
      <c r="C237" s="6" t="s">
        <v>20</v>
      </c>
      <c r="D237" s="6" t="s">
        <v>21</v>
      </c>
      <c r="E237" s="6" t="s">
        <v>27</v>
      </c>
      <c r="F237" s="6" t="s">
        <v>17</v>
      </c>
      <c r="G237" s="6" t="s">
        <v>23</v>
      </c>
      <c r="H237" s="7">
        <v>45158.0</v>
      </c>
      <c r="I237" s="8">
        <v>154.0</v>
      </c>
      <c r="J237" s="8">
        <v>412.47</v>
      </c>
      <c r="K237" s="8">
        <v>66.02</v>
      </c>
    </row>
    <row r="238">
      <c r="B238" s="6" t="s">
        <v>274</v>
      </c>
      <c r="C238" s="6" t="s">
        <v>20</v>
      </c>
      <c r="D238" s="6" t="s">
        <v>31</v>
      </c>
      <c r="E238" s="6" t="s">
        <v>27</v>
      </c>
      <c r="F238" s="6" t="s">
        <v>28</v>
      </c>
      <c r="G238" s="6" t="s">
        <v>33</v>
      </c>
      <c r="H238" s="7">
        <v>45159.0</v>
      </c>
      <c r="I238" s="8">
        <v>102.0</v>
      </c>
      <c r="J238" s="8">
        <v>263.63</v>
      </c>
      <c r="K238" s="8">
        <v>224.1</v>
      </c>
    </row>
    <row r="239">
      <c r="B239" s="6" t="s">
        <v>275</v>
      </c>
      <c r="C239" s="6" t="s">
        <v>20</v>
      </c>
      <c r="D239" s="6" t="s">
        <v>39</v>
      </c>
      <c r="E239" s="6" t="s">
        <v>27</v>
      </c>
      <c r="F239" s="6" t="s">
        <v>17</v>
      </c>
      <c r="G239" s="6" t="s">
        <v>33</v>
      </c>
      <c r="H239" s="7">
        <v>45160.0</v>
      </c>
      <c r="I239" s="8">
        <v>318.0</v>
      </c>
      <c r="J239" s="8">
        <v>66.0</v>
      </c>
      <c r="K239" s="8">
        <v>325.08</v>
      </c>
    </row>
    <row r="240">
      <c r="B240" s="6" t="s">
        <v>276</v>
      </c>
      <c r="C240" s="6" t="s">
        <v>20</v>
      </c>
      <c r="D240" s="6" t="s">
        <v>15</v>
      </c>
      <c r="E240" s="6" t="s">
        <v>27</v>
      </c>
      <c r="F240" s="6" t="s">
        <v>17</v>
      </c>
      <c r="G240" s="6" t="s">
        <v>33</v>
      </c>
      <c r="H240" s="7">
        <v>45161.0</v>
      </c>
      <c r="I240" s="8">
        <v>17.0</v>
      </c>
      <c r="J240" s="8">
        <v>430.41</v>
      </c>
      <c r="K240" s="8">
        <v>297.2</v>
      </c>
    </row>
    <row r="241">
      <c r="B241" s="6" t="s">
        <v>277</v>
      </c>
      <c r="C241" s="6" t="s">
        <v>20</v>
      </c>
      <c r="D241" s="6" t="s">
        <v>63</v>
      </c>
      <c r="E241" s="6" t="s">
        <v>22</v>
      </c>
      <c r="F241" s="6" t="s">
        <v>28</v>
      </c>
      <c r="G241" s="6" t="s">
        <v>23</v>
      </c>
      <c r="H241" s="7">
        <v>45162.0</v>
      </c>
      <c r="I241" s="8">
        <v>88.0</v>
      </c>
      <c r="J241" s="8">
        <v>400.89</v>
      </c>
      <c r="K241" s="8">
        <v>352.82</v>
      </c>
    </row>
    <row r="242">
      <c r="B242" s="6" t="s">
        <v>278</v>
      </c>
      <c r="C242" s="6" t="s">
        <v>61</v>
      </c>
      <c r="D242" s="6" t="s">
        <v>63</v>
      </c>
      <c r="E242" s="6" t="s">
        <v>16</v>
      </c>
      <c r="F242" s="6" t="s">
        <v>28</v>
      </c>
      <c r="G242" s="6" t="s">
        <v>23</v>
      </c>
      <c r="H242" s="7">
        <v>45163.0</v>
      </c>
      <c r="I242" s="8">
        <v>36.0</v>
      </c>
      <c r="J242" s="8">
        <v>96.37</v>
      </c>
      <c r="K242" s="8">
        <v>112.61</v>
      </c>
    </row>
    <row r="243">
      <c r="B243" s="6" t="s">
        <v>279</v>
      </c>
      <c r="C243" s="6" t="s">
        <v>61</v>
      </c>
      <c r="D243" s="6" t="s">
        <v>15</v>
      </c>
      <c r="E243" s="6" t="s">
        <v>32</v>
      </c>
      <c r="F243" s="6" t="s">
        <v>28</v>
      </c>
      <c r="G243" s="6" t="s">
        <v>18</v>
      </c>
      <c r="H243" s="7">
        <v>45164.0</v>
      </c>
      <c r="I243" s="8">
        <v>183.0</v>
      </c>
      <c r="J243" s="8">
        <v>151.16</v>
      </c>
      <c r="K243" s="8">
        <v>79.19</v>
      </c>
    </row>
    <row r="244">
      <c r="B244" s="6" t="s">
        <v>280</v>
      </c>
      <c r="C244" s="6" t="s">
        <v>14</v>
      </c>
      <c r="D244" s="6" t="s">
        <v>31</v>
      </c>
      <c r="E244" s="6" t="s">
        <v>32</v>
      </c>
      <c r="F244" s="6" t="s">
        <v>28</v>
      </c>
      <c r="G244" s="6" t="s">
        <v>18</v>
      </c>
      <c r="H244" s="7">
        <v>45165.0</v>
      </c>
      <c r="I244" s="8">
        <v>59.0</v>
      </c>
      <c r="J244" s="8">
        <v>397.74</v>
      </c>
      <c r="K244" s="8">
        <v>352.17</v>
      </c>
    </row>
    <row r="245">
      <c r="B245" s="6" t="s">
        <v>281</v>
      </c>
      <c r="C245" s="6" t="s">
        <v>20</v>
      </c>
      <c r="D245" s="6" t="s">
        <v>63</v>
      </c>
      <c r="E245" s="6" t="s">
        <v>27</v>
      </c>
      <c r="F245" s="6" t="s">
        <v>17</v>
      </c>
      <c r="G245" s="6" t="s">
        <v>33</v>
      </c>
      <c r="H245" s="7">
        <v>45166.0</v>
      </c>
      <c r="I245" s="8">
        <v>208.0</v>
      </c>
      <c r="J245" s="8">
        <v>96.69</v>
      </c>
      <c r="K245" s="8">
        <v>263.71</v>
      </c>
    </row>
    <row r="246">
      <c r="B246" s="6" t="s">
        <v>282</v>
      </c>
      <c r="C246" s="6" t="s">
        <v>61</v>
      </c>
      <c r="D246" s="6" t="s">
        <v>39</v>
      </c>
      <c r="E246" s="6" t="s">
        <v>27</v>
      </c>
      <c r="F246" s="6" t="s">
        <v>17</v>
      </c>
      <c r="G246" s="6" t="s">
        <v>23</v>
      </c>
      <c r="H246" s="7">
        <v>45167.0</v>
      </c>
      <c r="I246" s="8">
        <v>396.0</v>
      </c>
      <c r="J246" s="8">
        <v>459.29</v>
      </c>
      <c r="K246" s="8">
        <v>125.75</v>
      </c>
    </row>
    <row r="247">
      <c r="B247" s="6" t="s">
        <v>283</v>
      </c>
      <c r="C247" s="6" t="s">
        <v>14</v>
      </c>
      <c r="D247" s="6" t="s">
        <v>31</v>
      </c>
      <c r="E247" s="6" t="s">
        <v>55</v>
      </c>
      <c r="F247" s="6" t="s">
        <v>28</v>
      </c>
      <c r="G247" s="6" t="s">
        <v>23</v>
      </c>
      <c r="H247" s="7">
        <v>45168.0</v>
      </c>
      <c r="I247" s="8">
        <v>358.0</v>
      </c>
      <c r="J247" s="8">
        <v>215.14</v>
      </c>
      <c r="K247" s="8">
        <v>297.45</v>
      </c>
    </row>
    <row r="248">
      <c r="B248" s="6" t="s">
        <v>284</v>
      </c>
      <c r="C248" s="6" t="s">
        <v>20</v>
      </c>
      <c r="D248" s="6" t="s">
        <v>39</v>
      </c>
      <c r="E248" s="6" t="s">
        <v>16</v>
      </c>
      <c r="F248" s="6" t="s">
        <v>17</v>
      </c>
      <c r="G248" s="6" t="s">
        <v>23</v>
      </c>
      <c r="H248" s="7">
        <v>45169.0</v>
      </c>
      <c r="I248" s="8">
        <v>457.0</v>
      </c>
      <c r="J248" s="8">
        <v>48.08</v>
      </c>
      <c r="K248" s="8">
        <v>326.42</v>
      </c>
    </row>
    <row r="249">
      <c r="B249" s="6" t="s">
        <v>285</v>
      </c>
      <c r="C249" s="6" t="s">
        <v>26</v>
      </c>
      <c r="D249" s="6" t="s">
        <v>21</v>
      </c>
      <c r="E249" s="6" t="s">
        <v>22</v>
      </c>
      <c r="F249" s="6" t="s">
        <v>17</v>
      </c>
      <c r="G249" s="6" t="s">
        <v>33</v>
      </c>
      <c r="H249" s="7">
        <v>45170.0</v>
      </c>
      <c r="I249" s="8">
        <v>437.0</v>
      </c>
      <c r="J249" s="8">
        <v>408.8</v>
      </c>
      <c r="K249" s="8">
        <v>246.76</v>
      </c>
    </row>
    <row r="250">
      <c r="B250" s="6" t="s">
        <v>286</v>
      </c>
      <c r="C250" s="6" t="s">
        <v>14</v>
      </c>
      <c r="D250" s="6" t="s">
        <v>31</v>
      </c>
      <c r="E250" s="6" t="s">
        <v>32</v>
      </c>
      <c r="F250" s="6" t="s">
        <v>17</v>
      </c>
      <c r="G250" s="6" t="s">
        <v>18</v>
      </c>
      <c r="H250" s="7">
        <v>45171.0</v>
      </c>
      <c r="I250" s="8">
        <v>190.0</v>
      </c>
      <c r="J250" s="8">
        <v>189.89</v>
      </c>
      <c r="K250" s="8">
        <v>275.78</v>
      </c>
    </row>
    <row r="251">
      <c r="B251" s="6" t="s">
        <v>287</v>
      </c>
      <c r="C251" s="6" t="s">
        <v>61</v>
      </c>
      <c r="D251" s="6" t="s">
        <v>63</v>
      </c>
      <c r="E251" s="6" t="s">
        <v>55</v>
      </c>
      <c r="F251" s="6" t="s">
        <v>28</v>
      </c>
      <c r="G251" s="6" t="s">
        <v>33</v>
      </c>
      <c r="H251" s="7">
        <v>45172.0</v>
      </c>
      <c r="I251" s="8">
        <v>33.0</v>
      </c>
      <c r="J251" s="8">
        <v>265.62</v>
      </c>
      <c r="K251" s="8">
        <v>151.35</v>
      </c>
    </row>
    <row r="252">
      <c r="B252" s="6" t="s">
        <v>288</v>
      </c>
      <c r="C252" s="6" t="s">
        <v>26</v>
      </c>
      <c r="D252" s="6" t="s">
        <v>31</v>
      </c>
      <c r="E252" s="6" t="s">
        <v>55</v>
      </c>
      <c r="F252" s="6" t="s">
        <v>17</v>
      </c>
      <c r="G252" s="6" t="s">
        <v>18</v>
      </c>
      <c r="H252" s="7">
        <v>45173.0</v>
      </c>
      <c r="I252" s="8">
        <v>325.0</v>
      </c>
      <c r="J252" s="8">
        <v>60.59</v>
      </c>
      <c r="K252" s="8">
        <v>216.4</v>
      </c>
    </row>
    <row r="253">
      <c r="B253" s="6" t="s">
        <v>289</v>
      </c>
      <c r="C253" s="6" t="s">
        <v>26</v>
      </c>
      <c r="D253" s="6" t="s">
        <v>31</v>
      </c>
      <c r="E253" s="6" t="s">
        <v>32</v>
      </c>
      <c r="F253" s="6" t="s">
        <v>28</v>
      </c>
      <c r="G253" s="6" t="s">
        <v>18</v>
      </c>
      <c r="H253" s="7">
        <v>45174.0</v>
      </c>
      <c r="I253" s="8">
        <v>387.0</v>
      </c>
      <c r="J253" s="8">
        <v>6.28</v>
      </c>
      <c r="K253" s="8">
        <v>210.62</v>
      </c>
    </row>
    <row r="254">
      <c r="B254" s="6" t="s">
        <v>290</v>
      </c>
      <c r="C254" s="6" t="s">
        <v>26</v>
      </c>
      <c r="D254" s="6" t="s">
        <v>31</v>
      </c>
      <c r="E254" s="6" t="s">
        <v>22</v>
      </c>
      <c r="F254" s="6" t="s">
        <v>17</v>
      </c>
      <c r="G254" s="6" t="s">
        <v>33</v>
      </c>
      <c r="H254" s="7">
        <v>45175.0</v>
      </c>
      <c r="I254" s="8">
        <v>396.0</v>
      </c>
      <c r="J254" s="8">
        <v>320.8</v>
      </c>
      <c r="K254" s="8">
        <v>339.52</v>
      </c>
    </row>
    <row r="255">
      <c r="B255" s="6" t="s">
        <v>291</v>
      </c>
      <c r="C255" s="6" t="s">
        <v>14</v>
      </c>
      <c r="D255" s="6" t="s">
        <v>31</v>
      </c>
      <c r="E255" s="6" t="s">
        <v>55</v>
      </c>
      <c r="F255" s="6" t="s">
        <v>17</v>
      </c>
      <c r="G255" s="6" t="s">
        <v>18</v>
      </c>
      <c r="H255" s="7">
        <v>45176.0</v>
      </c>
      <c r="I255" s="8">
        <v>413.0</v>
      </c>
      <c r="J255" s="8">
        <v>260.01</v>
      </c>
      <c r="K255" s="8">
        <v>336.31</v>
      </c>
    </row>
    <row r="256">
      <c r="B256" s="6" t="s">
        <v>292</v>
      </c>
      <c r="C256" s="6" t="s">
        <v>61</v>
      </c>
      <c r="D256" s="6" t="s">
        <v>39</v>
      </c>
      <c r="E256" s="6" t="s">
        <v>55</v>
      </c>
      <c r="F256" s="6" t="s">
        <v>17</v>
      </c>
      <c r="G256" s="6" t="s">
        <v>18</v>
      </c>
      <c r="H256" s="7">
        <v>45177.0</v>
      </c>
      <c r="I256" s="6"/>
      <c r="J256" s="8">
        <v>298.8</v>
      </c>
      <c r="K256" s="8">
        <v>333.41</v>
      </c>
    </row>
    <row r="257">
      <c r="B257" s="6" t="s">
        <v>293</v>
      </c>
      <c r="C257" s="6" t="s">
        <v>26</v>
      </c>
      <c r="D257" s="6" t="s">
        <v>21</v>
      </c>
      <c r="E257" s="6" t="s">
        <v>16</v>
      </c>
      <c r="F257" s="6" t="s">
        <v>28</v>
      </c>
      <c r="G257" s="6" t="s">
        <v>23</v>
      </c>
      <c r="H257" s="7">
        <v>45178.0</v>
      </c>
      <c r="I257" s="8">
        <v>24.0</v>
      </c>
      <c r="J257" s="8">
        <v>397.9</v>
      </c>
      <c r="K257" s="8">
        <v>6.39</v>
      </c>
    </row>
    <row r="258">
      <c r="B258" s="6" t="s">
        <v>294</v>
      </c>
      <c r="C258" s="6" t="s">
        <v>20</v>
      </c>
      <c r="D258" s="6" t="s">
        <v>15</v>
      </c>
      <c r="E258" s="6"/>
      <c r="F258" s="6" t="s">
        <v>17</v>
      </c>
      <c r="G258" s="6" t="s">
        <v>18</v>
      </c>
      <c r="H258" s="7">
        <v>45179.0</v>
      </c>
      <c r="I258" s="8">
        <v>162.0</v>
      </c>
      <c r="J258" s="8">
        <v>325.07</v>
      </c>
      <c r="K258" s="8">
        <v>300.32</v>
      </c>
    </row>
    <row r="259">
      <c r="B259" s="6" t="s">
        <v>295</v>
      </c>
      <c r="C259" s="6" t="s">
        <v>26</v>
      </c>
      <c r="D259" s="6" t="s">
        <v>31</v>
      </c>
      <c r="E259" s="6" t="s">
        <v>55</v>
      </c>
      <c r="F259" s="6" t="s">
        <v>28</v>
      </c>
      <c r="G259" s="6" t="s">
        <v>33</v>
      </c>
      <c r="H259" s="7">
        <v>45180.0</v>
      </c>
      <c r="I259" s="8">
        <v>231.0</v>
      </c>
      <c r="J259" s="8">
        <v>91.51</v>
      </c>
      <c r="K259" s="8">
        <v>303.95</v>
      </c>
    </row>
    <row r="260">
      <c r="B260" s="6" t="s">
        <v>296</v>
      </c>
      <c r="C260" s="6" t="s">
        <v>26</v>
      </c>
      <c r="D260" s="6" t="s">
        <v>63</v>
      </c>
      <c r="E260" s="6" t="s">
        <v>22</v>
      </c>
      <c r="F260" s="6" t="s">
        <v>28</v>
      </c>
      <c r="G260" s="6" t="s">
        <v>33</v>
      </c>
      <c r="H260" s="7">
        <v>45181.0</v>
      </c>
      <c r="I260" s="8">
        <v>215.0</v>
      </c>
      <c r="J260" s="8">
        <v>183.58</v>
      </c>
      <c r="K260" s="8">
        <v>271.99</v>
      </c>
    </row>
    <row r="261">
      <c r="B261" s="6" t="s">
        <v>297</v>
      </c>
      <c r="C261" s="6" t="s">
        <v>14</v>
      </c>
      <c r="D261" s="6" t="s">
        <v>31</v>
      </c>
      <c r="E261" s="6" t="s">
        <v>32</v>
      </c>
      <c r="F261" s="6" t="s">
        <v>28</v>
      </c>
      <c r="G261" s="6" t="s">
        <v>18</v>
      </c>
      <c r="H261" s="7">
        <v>45182.0</v>
      </c>
      <c r="I261" s="8">
        <v>464.0</v>
      </c>
      <c r="J261" s="8">
        <v>453.42</v>
      </c>
      <c r="K261" s="8">
        <v>302.99</v>
      </c>
    </row>
    <row r="262">
      <c r="B262" s="6" t="s">
        <v>298</v>
      </c>
      <c r="C262" s="6" t="s">
        <v>14</v>
      </c>
      <c r="D262" s="6" t="s">
        <v>63</v>
      </c>
      <c r="E262" s="6" t="s">
        <v>27</v>
      </c>
      <c r="F262" s="6" t="s">
        <v>17</v>
      </c>
      <c r="G262" s="6" t="s">
        <v>23</v>
      </c>
      <c r="H262" s="7">
        <v>45183.0</v>
      </c>
      <c r="I262" s="8">
        <v>282.0</v>
      </c>
      <c r="J262" s="6"/>
      <c r="K262" s="8">
        <v>337.1</v>
      </c>
    </row>
    <row r="263">
      <c r="B263" s="6" t="s">
        <v>299</v>
      </c>
      <c r="C263" s="6" t="s">
        <v>61</v>
      </c>
      <c r="D263" s="6" t="s">
        <v>39</v>
      </c>
      <c r="E263" s="6" t="s">
        <v>55</v>
      </c>
      <c r="F263" s="6" t="s">
        <v>17</v>
      </c>
      <c r="G263" s="6" t="s">
        <v>23</v>
      </c>
      <c r="H263" s="7">
        <v>45184.0</v>
      </c>
      <c r="I263" s="8">
        <v>391.0</v>
      </c>
      <c r="J263" s="8">
        <v>280.54</v>
      </c>
      <c r="K263" s="8">
        <v>189.19</v>
      </c>
    </row>
    <row r="264">
      <c r="B264" s="6" t="s">
        <v>300</v>
      </c>
      <c r="C264" s="6" t="s">
        <v>20</v>
      </c>
      <c r="D264" s="6" t="s">
        <v>63</v>
      </c>
      <c r="E264" s="6" t="s">
        <v>16</v>
      </c>
      <c r="F264" s="6" t="s">
        <v>17</v>
      </c>
      <c r="G264" s="6" t="s">
        <v>18</v>
      </c>
      <c r="H264" s="7">
        <v>45185.0</v>
      </c>
      <c r="I264" s="8">
        <v>245.0</v>
      </c>
      <c r="J264" s="8">
        <v>131.54</v>
      </c>
      <c r="K264" s="8">
        <v>201.82</v>
      </c>
    </row>
    <row r="265">
      <c r="B265" s="6" t="s">
        <v>301</v>
      </c>
      <c r="C265" s="6" t="s">
        <v>14</v>
      </c>
      <c r="D265" s="6" t="s">
        <v>15</v>
      </c>
      <c r="E265" s="6" t="s">
        <v>32</v>
      </c>
      <c r="F265" s="6" t="s">
        <v>17</v>
      </c>
      <c r="G265" s="6" t="s">
        <v>18</v>
      </c>
      <c r="H265" s="7">
        <v>45186.0</v>
      </c>
      <c r="I265" s="8">
        <v>349.0</v>
      </c>
      <c r="J265" s="8">
        <v>154.52</v>
      </c>
      <c r="K265" s="8">
        <v>51.64</v>
      </c>
    </row>
    <row r="266">
      <c r="B266" s="6" t="s">
        <v>302</v>
      </c>
      <c r="C266" s="6" t="s">
        <v>26</v>
      </c>
      <c r="D266" s="6" t="s">
        <v>21</v>
      </c>
      <c r="E266" s="6" t="s">
        <v>22</v>
      </c>
      <c r="F266" s="6" t="s">
        <v>28</v>
      </c>
      <c r="G266" s="6" t="s">
        <v>33</v>
      </c>
      <c r="H266" s="7">
        <v>45187.0</v>
      </c>
      <c r="I266" s="8">
        <v>237.0</v>
      </c>
      <c r="J266" s="6"/>
      <c r="K266" s="8">
        <v>155.38</v>
      </c>
    </row>
    <row r="267">
      <c r="B267" s="6" t="s">
        <v>303</v>
      </c>
      <c r="C267" s="6" t="s">
        <v>61</v>
      </c>
      <c r="D267" s="6" t="s">
        <v>63</v>
      </c>
      <c r="E267" s="6" t="s">
        <v>32</v>
      </c>
      <c r="F267" s="6" t="s">
        <v>28</v>
      </c>
      <c r="G267" s="6" t="s">
        <v>18</v>
      </c>
      <c r="H267" s="7">
        <v>45188.0</v>
      </c>
      <c r="I267" s="8">
        <v>18.0</v>
      </c>
      <c r="J267" s="8">
        <v>426.33</v>
      </c>
      <c r="K267" s="8">
        <v>258.06</v>
      </c>
    </row>
    <row r="268">
      <c r="B268" s="6" t="s">
        <v>304</v>
      </c>
      <c r="C268" s="6" t="s">
        <v>26</v>
      </c>
      <c r="D268" s="6" t="s">
        <v>63</v>
      </c>
      <c r="E268" s="6" t="s">
        <v>55</v>
      </c>
      <c r="F268" s="6" t="s">
        <v>28</v>
      </c>
      <c r="G268" s="6" t="s">
        <v>23</v>
      </c>
      <c r="H268" s="7">
        <v>45189.0</v>
      </c>
      <c r="I268" s="8">
        <v>175.0</v>
      </c>
      <c r="J268" s="8">
        <v>337.36</v>
      </c>
      <c r="K268" s="8">
        <v>312.6</v>
      </c>
    </row>
    <row r="269">
      <c r="B269" s="6" t="s">
        <v>305</v>
      </c>
      <c r="C269" s="6" t="s">
        <v>26</v>
      </c>
      <c r="D269" s="6" t="s">
        <v>21</v>
      </c>
      <c r="E269" s="6"/>
      <c r="F269" s="6" t="s">
        <v>17</v>
      </c>
      <c r="G269" s="6" t="s">
        <v>18</v>
      </c>
      <c r="H269" s="7">
        <v>45190.0</v>
      </c>
      <c r="I269" s="8">
        <v>441.0</v>
      </c>
      <c r="J269" s="8">
        <v>405.72</v>
      </c>
      <c r="K269" s="8">
        <v>88.45</v>
      </c>
    </row>
    <row r="270">
      <c r="B270" s="6" t="s">
        <v>306</v>
      </c>
      <c r="C270" s="6" t="s">
        <v>14</v>
      </c>
      <c r="D270" s="6" t="s">
        <v>15</v>
      </c>
      <c r="E270" s="6" t="s">
        <v>27</v>
      </c>
      <c r="F270" s="6" t="s">
        <v>28</v>
      </c>
      <c r="G270" s="6" t="s">
        <v>33</v>
      </c>
      <c r="H270" s="7">
        <v>45191.0</v>
      </c>
      <c r="I270" s="8">
        <v>453.0</v>
      </c>
      <c r="J270" s="8">
        <v>384.49</v>
      </c>
      <c r="K270" s="8">
        <v>56.85</v>
      </c>
    </row>
    <row r="271">
      <c r="B271" s="6" t="s">
        <v>307</v>
      </c>
      <c r="C271" s="6" t="s">
        <v>61</v>
      </c>
      <c r="D271" s="6" t="s">
        <v>31</v>
      </c>
      <c r="E271" s="6" t="s">
        <v>32</v>
      </c>
      <c r="F271" s="6" t="s">
        <v>17</v>
      </c>
      <c r="G271" s="6" t="s">
        <v>33</v>
      </c>
      <c r="H271" s="7">
        <v>45192.0</v>
      </c>
      <c r="I271" s="8">
        <v>328.0</v>
      </c>
      <c r="J271" s="8">
        <v>79.1</v>
      </c>
      <c r="K271" s="8">
        <v>265.89</v>
      </c>
    </row>
    <row r="272">
      <c r="B272" s="6" t="s">
        <v>308</v>
      </c>
      <c r="C272" s="6" t="s">
        <v>20</v>
      </c>
      <c r="D272" s="6" t="s">
        <v>63</v>
      </c>
      <c r="E272" s="6" t="s">
        <v>55</v>
      </c>
      <c r="F272" s="6" t="s">
        <v>28</v>
      </c>
      <c r="G272" s="6" t="s">
        <v>33</v>
      </c>
      <c r="H272" s="7">
        <v>45193.0</v>
      </c>
      <c r="I272" s="8">
        <v>223.0</v>
      </c>
      <c r="J272" s="8">
        <v>214.85</v>
      </c>
      <c r="K272" s="8">
        <v>2.75</v>
      </c>
    </row>
    <row r="273">
      <c r="B273" s="6" t="s">
        <v>309</v>
      </c>
      <c r="C273" s="6" t="s">
        <v>20</v>
      </c>
      <c r="D273" s="6" t="s">
        <v>21</v>
      </c>
      <c r="E273" s="6" t="s">
        <v>16</v>
      </c>
      <c r="F273" s="6" t="s">
        <v>17</v>
      </c>
      <c r="G273" s="6" t="s">
        <v>33</v>
      </c>
      <c r="H273" s="7">
        <v>45194.0</v>
      </c>
      <c r="I273" s="8">
        <v>126.0</v>
      </c>
      <c r="J273" s="8">
        <v>80.73</v>
      </c>
      <c r="K273" s="8">
        <v>72.99</v>
      </c>
    </row>
    <row r="274">
      <c r="B274" s="6" t="s">
        <v>310</v>
      </c>
      <c r="C274" s="6" t="s">
        <v>14</v>
      </c>
      <c r="D274" s="6" t="s">
        <v>39</v>
      </c>
      <c r="E274" s="6" t="s">
        <v>22</v>
      </c>
      <c r="F274" s="6" t="s">
        <v>17</v>
      </c>
      <c r="G274" s="6" t="s">
        <v>33</v>
      </c>
      <c r="H274" s="7">
        <v>45195.0</v>
      </c>
      <c r="I274" s="8">
        <v>395.0</v>
      </c>
      <c r="J274" s="8">
        <v>121.44</v>
      </c>
      <c r="K274" s="8">
        <v>13.57</v>
      </c>
    </row>
    <row r="275">
      <c r="B275" s="6" t="s">
        <v>311</v>
      </c>
      <c r="C275" s="6" t="s">
        <v>14</v>
      </c>
      <c r="D275" s="6" t="s">
        <v>21</v>
      </c>
      <c r="E275" s="6" t="s">
        <v>32</v>
      </c>
      <c r="F275" s="6" t="s">
        <v>28</v>
      </c>
      <c r="G275" s="6" t="s">
        <v>18</v>
      </c>
      <c r="H275" s="7">
        <v>45196.0</v>
      </c>
      <c r="I275" s="8">
        <v>353.0</v>
      </c>
      <c r="J275" s="8">
        <v>435.28</v>
      </c>
      <c r="K275" s="8">
        <v>68.42</v>
      </c>
    </row>
    <row r="276">
      <c r="B276" s="6" t="s">
        <v>312</v>
      </c>
      <c r="C276" s="6" t="s">
        <v>61</v>
      </c>
      <c r="D276" s="6" t="s">
        <v>39</v>
      </c>
      <c r="E276" s="6" t="s">
        <v>32</v>
      </c>
      <c r="F276" s="6" t="s">
        <v>28</v>
      </c>
      <c r="G276" s="6" t="s">
        <v>18</v>
      </c>
      <c r="H276" s="7">
        <v>45197.0</v>
      </c>
      <c r="I276" s="8">
        <v>81.0</v>
      </c>
      <c r="J276" s="8">
        <v>239.08</v>
      </c>
      <c r="K276" s="8">
        <v>74.17</v>
      </c>
    </row>
    <row r="277">
      <c r="B277" s="6" t="s">
        <v>313</v>
      </c>
      <c r="C277" s="6" t="s">
        <v>20</v>
      </c>
      <c r="D277" s="6" t="s">
        <v>15</v>
      </c>
      <c r="E277" s="6" t="s">
        <v>27</v>
      </c>
      <c r="F277" s="6" t="s">
        <v>28</v>
      </c>
      <c r="G277" s="6" t="s">
        <v>18</v>
      </c>
      <c r="H277" s="7">
        <v>45198.0</v>
      </c>
      <c r="I277" s="8">
        <v>404.0</v>
      </c>
      <c r="J277" s="8">
        <v>270.0</v>
      </c>
      <c r="K277" s="8">
        <v>156.29</v>
      </c>
    </row>
    <row r="278">
      <c r="B278" s="6" t="s">
        <v>314</v>
      </c>
      <c r="C278" s="6" t="s">
        <v>20</v>
      </c>
      <c r="D278" s="6" t="s">
        <v>31</v>
      </c>
      <c r="E278" s="6" t="s">
        <v>27</v>
      </c>
      <c r="F278" s="6" t="s">
        <v>28</v>
      </c>
      <c r="G278" s="6" t="s">
        <v>18</v>
      </c>
      <c r="H278" s="7">
        <v>45199.0</v>
      </c>
      <c r="I278" s="8">
        <v>73.0</v>
      </c>
      <c r="J278" s="8">
        <v>93.33</v>
      </c>
      <c r="K278" s="8">
        <v>162.13</v>
      </c>
    </row>
    <row r="279">
      <c r="B279" s="6" t="s">
        <v>315</v>
      </c>
      <c r="C279" s="6" t="s">
        <v>20</v>
      </c>
      <c r="D279" s="6" t="s">
        <v>21</v>
      </c>
      <c r="E279" s="6" t="s">
        <v>16</v>
      </c>
      <c r="F279" s="6" t="s">
        <v>17</v>
      </c>
      <c r="G279" s="6" t="s">
        <v>33</v>
      </c>
      <c r="H279" s="7">
        <v>45200.0</v>
      </c>
      <c r="I279" s="8">
        <v>214.0</v>
      </c>
      <c r="J279" s="8">
        <v>159.57</v>
      </c>
      <c r="K279" s="8">
        <v>349.96</v>
      </c>
    </row>
    <row r="280">
      <c r="B280" s="6" t="s">
        <v>316</v>
      </c>
      <c r="C280" s="6" t="s">
        <v>26</v>
      </c>
      <c r="D280" s="6" t="s">
        <v>63</v>
      </c>
      <c r="E280" s="6" t="s">
        <v>16</v>
      </c>
      <c r="F280" s="6" t="s">
        <v>28</v>
      </c>
      <c r="G280" s="6" t="s">
        <v>23</v>
      </c>
      <c r="H280" s="7">
        <v>45201.0</v>
      </c>
      <c r="I280" s="8">
        <v>218.0</v>
      </c>
      <c r="J280" s="8">
        <v>118.97</v>
      </c>
      <c r="K280" s="8">
        <v>205.02</v>
      </c>
    </row>
    <row r="281">
      <c r="B281" s="6" t="s">
        <v>317</v>
      </c>
      <c r="C281" s="6" t="s">
        <v>20</v>
      </c>
      <c r="D281" s="6" t="s">
        <v>15</v>
      </c>
      <c r="E281" s="6" t="s">
        <v>55</v>
      </c>
      <c r="F281" s="6" t="s">
        <v>28</v>
      </c>
      <c r="G281" s="6" t="s">
        <v>18</v>
      </c>
      <c r="H281" s="7">
        <v>45202.0</v>
      </c>
      <c r="I281" s="8">
        <v>81.0</v>
      </c>
      <c r="J281" s="8">
        <v>107.06</v>
      </c>
      <c r="K281" s="8">
        <v>289.92</v>
      </c>
    </row>
    <row r="282">
      <c r="B282" s="6" t="s">
        <v>318</v>
      </c>
      <c r="C282" s="6" t="s">
        <v>26</v>
      </c>
      <c r="D282" s="6" t="s">
        <v>21</v>
      </c>
      <c r="E282" s="6" t="s">
        <v>55</v>
      </c>
      <c r="F282" s="6" t="s">
        <v>28</v>
      </c>
      <c r="G282" s="6" t="s">
        <v>23</v>
      </c>
      <c r="H282" s="7">
        <v>45203.0</v>
      </c>
      <c r="I282" s="8">
        <v>286.0</v>
      </c>
      <c r="J282" s="8">
        <v>320.79</v>
      </c>
      <c r="K282" s="8">
        <v>43.45</v>
      </c>
    </row>
    <row r="283">
      <c r="B283" s="6" t="s">
        <v>319</v>
      </c>
      <c r="C283" s="6" t="s">
        <v>61</v>
      </c>
      <c r="D283" s="6" t="s">
        <v>63</v>
      </c>
      <c r="E283" s="6" t="s">
        <v>16</v>
      </c>
      <c r="F283" s="6" t="s">
        <v>17</v>
      </c>
      <c r="G283" s="6" t="s">
        <v>18</v>
      </c>
      <c r="H283" s="7">
        <v>45204.0</v>
      </c>
      <c r="I283" s="8">
        <v>283.0</v>
      </c>
      <c r="J283" s="8">
        <v>132.16</v>
      </c>
      <c r="K283" s="8">
        <v>91.72</v>
      </c>
    </row>
    <row r="284">
      <c r="B284" s="6" t="s">
        <v>320</v>
      </c>
      <c r="C284" s="6" t="s">
        <v>26</v>
      </c>
      <c r="D284" s="6" t="s">
        <v>21</v>
      </c>
      <c r="E284" s="6" t="s">
        <v>16</v>
      </c>
      <c r="F284" s="6" t="s">
        <v>17</v>
      </c>
      <c r="G284" s="6" t="s">
        <v>18</v>
      </c>
      <c r="H284" s="7">
        <v>45205.0</v>
      </c>
      <c r="I284" s="8">
        <v>487.0</v>
      </c>
      <c r="J284" s="8">
        <v>317.85</v>
      </c>
      <c r="K284" s="8">
        <v>281.77</v>
      </c>
    </row>
    <row r="285">
      <c r="B285" s="6" t="s">
        <v>321</v>
      </c>
      <c r="C285" s="6" t="s">
        <v>61</v>
      </c>
      <c r="D285" s="6" t="s">
        <v>39</v>
      </c>
      <c r="E285" s="6" t="s">
        <v>22</v>
      </c>
      <c r="F285" s="6" t="s">
        <v>28</v>
      </c>
      <c r="G285" s="6" t="s">
        <v>23</v>
      </c>
      <c r="H285" s="7">
        <v>45206.0</v>
      </c>
      <c r="I285" s="8">
        <v>329.0</v>
      </c>
      <c r="J285" s="8">
        <v>33.94</v>
      </c>
      <c r="K285" s="8">
        <v>23.02</v>
      </c>
    </row>
    <row r="286">
      <c r="B286" s="6" t="s">
        <v>322</v>
      </c>
      <c r="C286" s="6" t="s">
        <v>20</v>
      </c>
      <c r="D286" s="6" t="s">
        <v>21</v>
      </c>
      <c r="E286" s="6" t="s">
        <v>27</v>
      </c>
      <c r="F286" s="6" t="s">
        <v>17</v>
      </c>
      <c r="G286" s="6" t="s">
        <v>33</v>
      </c>
      <c r="H286" s="7">
        <v>45207.0</v>
      </c>
      <c r="I286" s="8">
        <v>347.0</v>
      </c>
      <c r="J286" s="8">
        <v>75.18</v>
      </c>
      <c r="K286" s="8">
        <v>195.67</v>
      </c>
    </row>
    <row r="287">
      <c r="B287" s="6" t="s">
        <v>323</v>
      </c>
      <c r="C287" s="6" t="s">
        <v>20</v>
      </c>
      <c r="D287" s="6" t="s">
        <v>21</v>
      </c>
      <c r="E287" s="6" t="s">
        <v>55</v>
      </c>
      <c r="F287" s="6" t="s">
        <v>28</v>
      </c>
      <c r="G287" s="6" t="s">
        <v>18</v>
      </c>
      <c r="H287" s="7">
        <v>45208.0</v>
      </c>
      <c r="I287" s="8">
        <v>375.0</v>
      </c>
      <c r="J287" s="8">
        <v>140.9</v>
      </c>
      <c r="K287" s="8">
        <v>240.55</v>
      </c>
    </row>
    <row r="288">
      <c r="B288" s="6" t="s">
        <v>324</v>
      </c>
      <c r="C288" s="6" t="s">
        <v>61</v>
      </c>
      <c r="D288" s="6" t="s">
        <v>21</v>
      </c>
      <c r="E288" s="6" t="s">
        <v>27</v>
      </c>
      <c r="F288" s="6" t="s">
        <v>17</v>
      </c>
      <c r="G288" s="6" t="s">
        <v>18</v>
      </c>
      <c r="H288" s="7">
        <v>45209.0</v>
      </c>
      <c r="I288" s="8">
        <v>104.0</v>
      </c>
      <c r="J288" s="8">
        <v>300.54</v>
      </c>
      <c r="K288" s="8">
        <v>241.65</v>
      </c>
    </row>
    <row r="289">
      <c r="B289" s="6" t="s">
        <v>325</v>
      </c>
      <c r="C289" s="6" t="s">
        <v>14</v>
      </c>
      <c r="D289" s="6" t="s">
        <v>15</v>
      </c>
      <c r="E289" s="6"/>
      <c r="F289" s="6" t="s">
        <v>17</v>
      </c>
      <c r="G289" s="6" t="s">
        <v>18</v>
      </c>
      <c r="H289" s="7">
        <v>45210.0</v>
      </c>
      <c r="I289" s="8">
        <v>175.0</v>
      </c>
      <c r="J289" s="8">
        <v>339.54</v>
      </c>
      <c r="K289" s="8">
        <v>11.13</v>
      </c>
    </row>
    <row r="290">
      <c r="B290" s="6" t="s">
        <v>326</v>
      </c>
      <c r="C290" s="6" t="s">
        <v>61</v>
      </c>
      <c r="D290" s="6" t="s">
        <v>21</v>
      </c>
      <c r="E290" s="6" t="s">
        <v>16</v>
      </c>
      <c r="F290" s="6" t="s">
        <v>17</v>
      </c>
      <c r="G290" s="6" t="s">
        <v>23</v>
      </c>
      <c r="H290" s="7">
        <v>45211.0</v>
      </c>
      <c r="I290" s="8">
        <v>41.0</v>
      </c>
      <c r="J290" s="8">
        <v>224.14</v>
      </c>
      <c r="K290" s="8">
        <v>130.2</v>
      </c>
    </row>
    <row r="291">
      <c r="B291" s="6" t="s">
        <v>327</v>
      </c>
      <c r="C291" s="6" t="s">
        <v>14</v>
      </c>
      <c r="D291" s="6" t="s">
        <v>63</v>
      </c>
      <c r="E291" s="6" t="s">
        <v>22</v>
      </c>
      <c r="F291" s="6" t="s">
        <v>17</v>
      </c>
      <c r="G291" s="6" t="s">
        <v>33</v>
      </c>
      <c r="H291" s="7">
        <v>45212.0</v>
      </c>
      <c r="I291" s="8">
        <v>20.0</v>
      </c>
      <c r="J291" s="8">
        <v>225.67</v>
      </c>
      <c r="K291" s="8">
        <v>255.32</v>
      </c>
    </row>
    <row r="292">
      <c r="B292" s="6" t="s">
        <v>328</v>
      </c>
      <c r="C292" s="6" t="s">
        <v>26</v>
      </c>
      <c r="D292" s="6" t="s">
        <v>39</v>
      </c>
      <c r="E292" s="6" t="s">
        <v>32</v>
      </c>
      <c r="F292" s="6" t="s">
        <v>28</v>
      </c>
      <c r="G292" s="6" t="s">
        <v>23</v>
      </c>
      <c r="H292" s="7">
        <v>45213.0</v>
      </c>
      <c r="I292" s="8">
        <v>310.0</v>
      </c>
      <c r="J292" s="8">
        <v>363.64</v>
      </c>
      <c r="K292" s="8">
        <v>61.3</v>
      </c>
    </row>
    <row r="293">
      <c r="B293" s="6" t="s">
        <v>329</v>
      </c>
      <c r="C293" s="6" t="s">
        <v>26</v>
      </c>
      <c r="D293" s="6" t="s">
        <v>39</v>
      </c>
      <c r="E293" s="6" t="s">
        <v>22</v>
      </c>
      <c r="F293" s="6" t="s">
        <v>28</v>
      </c>
      <c r="G293" s="6" t="s">
        <v>23</v>
      </c>
      <c r="H293" s="7">
        <v>45214.0</v>
      </c>
      <c r="I293" s="8">
        <v>226.0</v>
      </c>
      <c r="J293" s="6"/>
      <c r="K293" s="8">
        <v>278.78</v>
      </c>
    </row>
    <row r="294">
      <c r="B294" s="6" t="s">
        <v>330</v>
      </c>
      <c r="C294" s="6" t="s">
        <v>26</v>
      </c>
      <c r="D294" s="6" t="s">
        <v>21</v>
      </c>
      <c r="E294" s="6" t="s">
        <v>22</v>
      </c>
      <c r="F294" s="6" t="s">
        <v>28</v>
      </c>
      <c r="G294" s="6" t="s">
        <v>33</v>
      </c>
      <c r="H294" s="7">
        <v>45215.0</v>
      </c>
      <c r="I294" s="6"/>
      <c r="J294" s="8">
        <v>173.84</v>
      </c>
      <c r="K294" s="8">
        <v>298.88</v>
      </c>
    </row>
    <row r="295">
      <c r="B295" s="6" t="s">
        <v>331</v>
      </c>
      <c r="C295" s="6" t="s">
        <v>20</v>
      </c>
      <c r="D295" s="6" t="s">
        <v>15</v>
      </c>
      <c r="E295" s="6" t="s">
        <v>27</v>
      </c>
      <c r="F295" s="6" t="s">
        <v>17</v>
      </c>
      <c r="G295" s="6" t="s">
        <v>23</v>
      </c>
      <c r="H295" s="7">
        <v>45216.0</v>
      </c>
      <c r="I295" s="8">
        <v>111.0</v>
      </c>
      <c r="J295" s="8">
        <v>410.26</v>
      </c>
      <c r="K295" s="8">
        <v>392.82</v>
      </c>
    </row>
    <row r="296">
      <c r="B296" s="6" t="s">
        <v>332</v>
      </c>
      <c r="C296" s="6" t="s">
        <v>26</v>
      </c>
      <c r="D296" s="6" t="s">
        <v>15</v>
      </c>
      <c r="E296" s="6" t="s">
        <v>22</v>
      </c>
      <c r="F296" s="6" t="s">
        <v>28</v>
      </c>
      <c r="G296" s="6" t="s">
        <v>33</v>
      </c>
      <c r="H296" s="7">
        <v>45217.0</v>
      </c>
      <c r="I296" s="8">
        <v>434.0</v>
      </c>
      <c r="J296" s="8">
        <v>303.59</v>
      </c>
      <c r="K296" s="8">
        <v>85.52</v>
      </c>
    </row>
    <row r="297">
      <c r="B297" s="6" t="s">
        <v>333</v>
      </c>
      <c r="C297" s="6" t="s">
        <v>14</v>
      </c>
      <c r="D297" s="6" t="s">
        <v>63</v>
      </c>
      <c r="E297" s="6" t="s">
        <v>55</v>
      </c>
      <c r="F297" s="6" t="s">
        <v>28</v>
      </c>
      <c r="G297" s="6" t="s">
        <v>18</v>
      </c>
      <c r="H297" s="7">
        <v>45218.0</v>
      </c>
      <c r="I297" s="8">
        <v>401.0</v>
      </c>
      <c r="J297" s="8">
        <v>171.93</v>
      </c>
      <c r="K297" s="8">
        <v>330.4</v>
      </c>
    </row>
    <row r="298">
      <c r="B298" s="6" t="s">
        <v>334</v>
      </c>
      <c r="C298" s="6" t="s">
        <v>26</v>
      </c>
      <c r="D298" s="6" t="s">
        <v>21</v>
      </c>
      <c r="E298" s="6" t="s">
        <v>27</v>
      </c>
      <c r="F298" s="6" t="s">
        <v>28</v>
      </c>
      <c r="G298" s="6" t="s">
        <v>33</v>
      </c>
      <c r="H298" s="7">
        <v>45219.0</v>
      </c>
      <c r="I298" s="8">
        <v>276.0</v>
      </c>
      <c r="J298" s="8">
        <v>453.23</v>
      </c>
      <c r="K298" s="8">
        <v>209.08</v>
      </c>
    </row>
    <row r="299">
      <c r="B299" s="6" t="s">
        <v>335</v>
      </c>
      <c r="C299" s="6" t="s">
        <v>61</v>
      </c>
      <c r="D299" s="6" t="s">
        <v>39</v>
      </c>
      <c r="E299" s="6" t="s">
        <v>55</v>
      </c>
      <c r="F299" s="6" t="s">
        <v>17</v>
      </c>
      <c r="G299" s="6" t="s">
        <v>18</v>
      </c>
      <c r="H299" s="7">
        <v>45220.0</v>
      </c>
      <c r="I299" s="6"/>
      <c r="J299" s="8">
        <v>387.45</v>
      </c>
      <c r="K299" s="8">
        <v>150.64</v>
      </c>
    </row>
    <row r="300">
      <c r="B300" s="6" t="s">
        <v>336</v>
      </c>
      <c r="C300" s="6" t="s">
        <v>61</v>
      </c>
      <c r="D300" s="6" t="s">
        <v>15</v>
      </c>
      <c r="E300" s="6" t="s">
        <v>32</v>
      </c>
      <c r="F300" s="6" t="s">
        <v>17</v>
      </c>
      <c r="G300" s="6" t="s">
        <v>23</v>
      </c>
      <c r="H300" s="7">
        <v>45221.0</v>
      </c>
      <c r="I300" s="8">
        <v>188.0</v>
      </c>
      <c r="J300" s="8">
        <v>136.12</v>
      </c>
      <c r="K300" s="8">
        <v>50.71</v>
      </c>
    </row>
    <row r="301">
      <c r="B301" s="6" t="s">
        <v>337</v>
      </c>
      <c r="C301" s="6" t="s">
        <v>20</v>
      </c>
      <c r="D301" s="6" t="s">
        <v>21</v>
      </c>
      <c r="E301" s="6" t="s">
        <v>27</v>
      </c>
      <c r="F301" s="6" t="s">
        <v>17</v>
      </c>
      <c r="G301" s="6" t="s">
        <v>23</v>
      </c>
      <c r="H301" s="7">
        <v>45222.0</v>
      </c>
      <c r="I301" s="8">
        <v>97.0</v>
      </c>
      <c r="J301" s="8">
        <v>324.42</v>
      </c>
      <c r="K301" s="8">
        <v>294.73</v>
      </c>
    </row>
    <row r="302">
      <c r="B302" s="6" t="s">
        <v>338</v>
      </c>
      <c r="C302" s="6" t="s">
        <v>61</v>
      </c>
      <c r="D302" s="6" t="s">
        <v>15</v>
      </c>
      <c r="E302" s="6" t="s">
        <v>32</v>
      </c>
      <c r="F302" s="6" t="s">
        <v>28</v>
      </c>
      <c r="G302" s="6" t="s">
        <v>18</v>
      </c>
      <c r="H302" s="7">
        <v>45223.0</v>
      </c>
      <c r="I302" s="8">
        <v>50.0</v>
      </c>
      <c r="J302" s="8">
        <v>299.9</v>
      </c>
      <c r="K302" s="8">
        <v>95.87</v>
      </c>
    </row>
    <row r="303">
      <c r="B303" s="6" t="s">
        <v>339</v>
      </c>
      <c r="C303" s="6" t="s">
        <v>14</v>
      </c>
      <c r="D303" s="6" t="s">
        <v>15</v>
      </c>
      <c r="E303" s="6" t="s">
        <v>27</v>
      </c>
      <c r="F303" s="6" t="s">
        <v>28</v>
      </c>
      <c r="G303" s="6" t="s">
        <v>23</v>
      </c>
      <c r="H303" s="7">
        <v>45224.0</v>
      </c>
      <c r="I303" s="8">
        <v>410.0</v>
      </c>
      <c r="J303" s="8">
        <v>203.59</v>
      </c>
      <c r="K303" s="8">
        <v>149.83</v>
      </c>
    </row>
    <row r="304">
      <c r="B304" s="6" t="s">
        <v>340</v>
      </c>
      <c r="C304" s="6" t="s">
        <v>26</v>
      </c>
      <c r="D304" s="6" t="s">
        <v>39</v>
      </c>
      <c r="E304" s="6" t="s">
        <v>16</v>
      </c>
      <c r="F304" s="6" t="s">
        <v>28</v>
      </c>
      <c r="G304" s="6" t="s">
        <v>33</v>
      </c>
      <c r="H304" s="7">
        <v>45225.0</v>
      </c>
      <c r="I304" s="8">
        <v>85.0</v>
      </c>
      <c r="J304" s="8">
        <v>186.64</v>
      </c>
      <c r="K304" s="8">
        <v>26.89</v>
      </c>
    </row>
    <row r="305">
      <c r="B305" s="6" t="s">
        <v>341</v>
      </c>
      <c r="C305" s="6" t="s">
        <v>20</v>
      </c>
      <c r="D305" s="6" t="s">
        <v>31</v>
      </c>
      <c r="E305" s="6" t="s">
        <v>22</v>
      </c>
      <c r="F305" s="6" t="s">
        <v>17</v>
      </c>
      <c r="G305" s="6" t="s">
        <v>18</v>
      </c>
      <c r="H305" s="7">
        <v>45226.0</v>
      </c>
      <c r="I305" s="8">
        <v>386.0</v>
      </c>
      <c r="J305" s="8">
        <v>175.06</v>
      </c>
      <c r="K305" s="8">
        <v>320.94</v>
      </c>
    </row>
    <row r="306">
      <c r="B306" s="6" t="s">
        <v>342</v>
      </c>
      <c r="C306" s="6" t="s">
        <v>26</v>
      </c>
      <c r="D306" s="6" t="s">
        <v>63</v>
      </c>
      <c r="E306" s="6" t="s">
        <v>16</v>
      </c>
      <c r="F306" s="6" t="s">
        <v>17</v>
      </c>
      <c r="G306" s="6" t="s">
        <v>23</v>
      </c>
      <c r="H306" s="7">
        <v>45227.0</v>
      </c>
      <c r="I306" s="8">
        <v>55.0</v>
      </c>
      <c r="J306" s="8">
        <v>310.49</v>
      </c>
      <c r="K306" s="8">
        <v>307.1</v>
      </c>
    </row>
    <row r="307">
      <c r="B307" s="6" t="s">
        <v>343</v>
      </c>
      <c r="C307" s="6" t="s">
        <v>26</v>
      </c>
      <c r="D307" s="6" t="s">
        <v>63</v>
      </c>
      <c r="E307" s="6" t="s">
        <v>32</v>
      </c>
      <c r="F307" s="6" t="s">
        <v>28</v>
      </c>
      <c r="G307" s="6" t="s">
        <v>18</v>
      </c>
      <c r="H307" s="7">
        <v>45228.0</v>
      </c>
      <c r="I307" s="8">
        <v>169.0</v>
      </c>
      <c r="J307" s="8">
        <v>223.99</v>
      </c>
      <c r="K307" s="8">
        <v>293.98</v>
      </c>
    </row>
    <row r="308">
      <c r="B308" s="6" t="s">
        <v>344</v>
      </c>
      <c r="C308" s="6" t="s">
        <v>14</v>
      </c>
      <c r="D308" s="6" t="s">
        <v>39</v>
      </c>
      <c r="E308" s="6" t="s">
        <v>22</v>
      </c>
      <c r="F308" s="6" t="s">
        <v>17</v>
      </c>
      <c r="G308" s="6" t="s">
        <v>33</v>
      </c>
      <c r="H308" s="7">
        <v>45229.0</v>
      </c>
      <c r="I308" s="8">
        <v>472.0</v>
      </c>
      <c r="J308" s="8">
        <v>416.77</v>
      </c>
      <c r="K308" s="8">
        <v>121.18</v>
      </c>
    </row>
    <row r="309">
      <c r="B309" s="6" t="s">
        <v>345</v>
      </c>
      <c r="C309" s="6" t="s">
        <v>61</v>
      </c>
      <c r="D309" s="6" t="s">
        <v>15</v>
      </c>
      <c r="E309" s="6" t="s">
        <v>27</v>
      </c>
      <c r="F309" s="6" t="s">
        <v>17</v>
      </c>
      <c r="G309" s="6" t="s">
        <v>33</v>
      </c>
      <c r="H309" s="7">
        <v>45230.0</v>
      </c>
      <c r="I309" s="8">
        <v>89.0</v>
      </c>
      <c r="J309" s="8">
        <v>336.45</v>
      </c>
      <c r="K309" s="8">
        <v>71.05</v>
      </c>
    </row>
    <row r="310">
      <c r="B310" s="6" t="s">
        <v>346</v>
      </c>
      <c r="C310" s="6" t="s">
        <v>61</v>
      </c>
      <c r="D310" s="6" t="s">
        <v>21</v>
      </c>
      <c r="E310" s="6" t="s">
        <v>22</v>
      </c>
      <c r="F310" s="6" t="s">
        <v>17</v>
      </c>
      <c r="G310" s="6" t="s">
        <v>23</v>
      </c>
      <c r="H310" s="7">
        <v>45231.0</v>
      </c>
      <c r="I310" s="8">
        <v>319.0</v>
      </c>
      <c r="J310" s="8">
        <v>39.62</v>
      </c>
      <c r="K310" s="8">
        <v>255.75</v>
      </c>
    </row>
    <row r="311">
      <c r="B311" s="6" t="s">
        <v>347</v>
      </c>
      <c r="C311" s="6" t="s">
        <v>26</v>
      </c>
      <c r="D311" s="6" t="s">
        <v>15</v>
      </c>
      <c r="E311" s="6"/>
      <c r="F311" s="6" t="s">
        <v>17</v>
      </c>
      <c r="G311" s="6" t="s">
        <v>33</v>
      </c>
      <c r="H311" s="7">
        <v>45232.0</v>
      </c>
      <c r="I311" s="8">
        <v>95.0</v>
      </c>
      <c r="J311" s="8">
        <v>321.88</v>
      </c>
      <c r="K311" s="8">
        <v>199.47</v>
      </c>
    </row>
    <row r="312">
      <c r="B312" s="6" t="s">
        <v>348</v>
      </c>
      <c r="C312" s="6" t="s">
        <v>20</v>
      </c>
      <c r="D312" s="6" t="s">
        <v>39</v>
      </c>
      <c r="E312" s="6"/>
      <c r="F312" s="6" t="s">
        <v>28</v>
      </c>
      <c r="G312" s="6" t="s">
        <v>18</v>
      </c>
      <c r="H312" s="7">
        <v>45233.0</v>
      </c>
      <c r="I312" s="8">
        <v>101.0</v>
      </c>
      <c r="J312" s="8">
        <v>139.22</v>
      </c>
      <c r="K312" s="8">
        <v>72.94</v>
      </c>
    </row>
    <row r="313">
      <c r="B313" s="6" t="s">
        <v>349</v>
      </c>
      <c r="C313" s="6" t="s">
        <v>61</v>
      </c>
      <c r="D313" s="6" t="s">
        <v>63</v>
      </c>
      <c r="E313" s="6"/>
      <c r="F313" s="6" t="s">
        <v>17</v>
      </c>
      <c r="G313" s="6" t="s">
        <v>33</v>
      </c>
      <c r="H313" s="7">
        <v>45234.0</v>
      </c>
      <c r="I313" s="8">
        <v>157.0</v>
      </c>
      <c r="J313" s="6"/>
      <c r="K313" s="8">
        <v>274.99</v>
      </c>
    </row>
    <row r="314">
      <c r="B314" s="6" t="s">
        <v>350</v>
      </c>
      <c r="C314" s="6" t="s">
        <v>20</v>
      </c>
      <c r="D314" s="6" t="s">
        <v>15</v>
      </c>
      <c r="E314" s="6" t="s">
        <v>22</v>
      </c>
      <c r="F314" s="6" t="s">
        <v>17</v>
      </c>
      <c r="G314" s="6" t="s">
        <v>18</v>
      </c>
      <c r="H314" s="7">
        <v>45235.0</v>
      </c>
      <c r="I314" s="8">
        <v>170.0</v>
      </c>
      <c r="J314" s="8">
        <v>341.67</v>
      </c>
      <c r="K314" s="8">
        <v>396.47</v>
      </c>
    </row>
    <row r="315">
      <c r="B315" s="6" t="s">
        <v>351</v>
      </c>
      <c r="C315" s="6" t="s">
        <v>61</v>
      </c>
      <c r="D315" s="6" t="s">
        <v>63</v>
      </c>
      <c r="E315" s="6" t="s">
        <v>55</v>
      </c>
      <c r="F315" s="6" t="s">
        <v>17</v>
      </c>
      <c r="G315" s="6" t="s">
        <v>18</v>
      </c>
      <c r="H315" s="7">
        <v>45236.0</v>
      </c>
      <c r="I315" s="8">
        <v>211.0</v>
      </c>
      <c r="J315" s="8">
        <v>119.26</v>
      </c>
      <c r="K315" s="8">
        <v>299.39</v>
      </c>
    </row>
    <row r="316">
      <c r="B316" s="6" t="s">
        <v>352</v>
      </c>
      <c r="C316" s="6" t="s">
        <v>20</v>
      </c>
      <c r="D316" s="6" t="s">
        <v>21</v>
      </c>
      <c r="E316" s="6" t="s">
        <v>32</v>
      </c>
      <c r="F316" s="6" t="s">
        <v>17</v>
      </c>
      <c r="G316" s="6" t="s">
        <v>33</v>
      </c>
      <c r="H316" s="7">
        <v>45237.0</v>
      </c>
      <c r="I316" s="8">
        <v>433.0</v>
      </c>
      <c r="J316" s="8">
        <v>231.15</v>
      </c>
      <c r="K316" s="8">
        <v>296.51</v>
      </c>
    </row>
    <row r="317">
      <c r="B317" s="6" t="s">
        <v>353</v>
      </c>
      <c r="C317" s="6" t="s">
        <v>14</v>
      </c>
      <c r="D317" s="6" t="s">
        <v>63</v>
      </c>
      <c r="E317" s="6" t="s">
        <v>16</v>
      </c>
      <c r="F317" s="6" t="s">
        <v>28</v>
      </c>
      <c r="G317" s="6" t="s">
        <v>23</v>
      </c>
      <c r="H317" s="7">
        <v>45238.0</v>
      </c>
      <c r="I317" s="8">
        <v>425.0</v>
      </c>
      <c r="J317" s="8">
        <v>99.21</v>
      </c>
      <c r="K317" s="8">
        <v>380.22</v>
      </c>
    </row>
    <row r="318">
      <c r="B318" s="6" t="s">
        <v>354</v>
      </c>
      <c r="C318" s="6" t="s">
        <v>20</v>
      </c>
      <c r="D318" s="6" t="s">
        <v>63</v>
      </c>
      <c r="E318" s="6" t="s">
        <v>27</v>
      </c>
      <c r="F318" s="6" t="s">
        <v>28</v>
      </c>
      <c r="G318" s="6" t="s">
        <v>33</v>
      </c>
      <c r="H318" s="7">
        <v>45239.0</v>
      </c>
      <c r="I318" s="8">
        <v>251.0</v>
      </c>
      <c r="J318" s="8">
        <v>30.91</v>
      </c>
      <c r="K318" s="8">
        <v>82.77</v>
      </c>
    </row>
    <row r="319">
      <c r="B319" s="6" t="s">
        <v>355</v>
      </c>
      <c r="C319" s="6" t="s">
        <v>14</v>
      </c>
      <c r="D319" s="6" t="s">
        <v>31</v>
      </c>
      <c r="E319" s="6" t="s">
        <v>22</v>
      </c>
      <c r="F319" s="6" t="s">
        <v>17</v>
      </c>
      <c r="G319" s="6" t="s">
        <v>18</v>
      </c>
      <c r="H319" s="7">
        <v>45240.0</v>
      </c>
      <c r="I319" s="6"/>
      <c r="J319" s="8">
        <v>192.35</v>
      </c>
      <c r="K319" s="8">
        <v>227.09</v>
      </c>
    </row>
    <row r="320">
      <c r="B320" s="6" t="s">
        <v>356</v>
      </c>
      <c r="C320" s="6" t="s">
        <v>14</v>
      </c>
      <c r="D320" s="6" t="s">
        <v>31</v>
      </c>
      <c r="E320" s="6" t="s">
        <v>16</v>
      </c>
      <c r="F320" s="6" t="s">
        <v>17</v>
      </c>
      <c r="G320" s="6" t="s">
        <v>18</v>
      </c>
      <c r="H320" s="7">
        <v>45241.0</v>
      </c>
      <c r="I320" s="8">
        <v>11.0</v>
      </c>
      <c r="J320" s="8">
        <v>184.66</v>
      </c>
      <c r="K320" s="8">
        <v>391.9</v>
      </c>
    </row>
    <row r="321">
      <c r="B321" s="6" t="s">
        <v>357</v>
      </c>
      <c r="C321" s="6" t="s">
        <v>20</v>
      </c>
      <c r="D321" s="6" t="s">
        <v>31</v>
      </c>
      <c r="E321" s="6" t="s">
        <v>27</v>
      </c>
      <c r="F321" s="6" t="s">
        <v>17</v>
      </c>
      <c r="G321" s="6" t="s">
        <v>33</v>
      </c>
      <c r="H321" s="7">
        <v>45242.0</v>
      </c>
      <c r="I321" s="8">
        <v>234.0</v>
      </c>
      <c r="J321" s="8">
        <v>497.76</v>
      </c>
      <c r="K321" s="8">
        <v>67.79</v>
      </c>
    </row>
    <row r="322">
      <c r="B322" s="6" t="s">
        <v>358</v>
      </c>
      <c r="C322" s="6" t="s">
        <v>14</v>
      </c>
      <c r="D322" s="6" t="s">
        <v>63</v>
      </c>
      <c r="E322" s="6" t="s">
        <v>27</v>
      </c>
      <c r="F322" s="6" t="s">
        <v>17</v>
      </c>
      <c r="G322" s="6" t="s">
        <v>23</v>
      </c>
      <c r="H322" s="7">
        <v>45243.0</v>
      </c>
      <c r="I322" s="6"/>
      <c r="J322" s="8">
        <v>225.94</v>
      </c>
      <c r="K322" s="8">
        <v>280.7</v>
      </c>
    </row>
    <row r="323">
      <c r="B323" s="6" t="s">
        <v>359</v>
      </c>
      <c r="C323" s="6" t="s">
        <v>26</v>
      </c>
      <c r="D323" s="6" t="s">
        <v>39</v>
      </c>
      <c r="E323" s="6" t="s">
        <v>55</v>
      </c>
      <c r="F323" s="6" t="s">
        <v>17</v>
      </c>
      <c r="G323" s="6" t="s">
        <v>23</v>
      </c>
      <c r="H323" s="7">
        <v>45244.0</v>
      </c>
      <c r="I323" s="8">
        <v>242.0</v>
      </c>
      <c r="J323" s="8">
        <v>170.12</v>
      </c>
      <c r="K323" s="8">
        <v>235.15</v>
      </c>
    </row>
    <row r="324">
      <c r="B324" s="6" t="s">
        <v>360</v>
      </c>
      <c r="C324" s="6" t="s">
        <v>14</v>
      </c>
      <c r="D324" s="6" t="s">
        <v>63</v>
      </c>
      <c r="E324" s="6" t="s">
        <v>32</v>
      </c>
      <c r="F324" s="6" t="s">
        <v>17</v>
      </c>
      <c r="G324" s="6" t="s">
        <v>18</v>
      </c>
      <c r="H324" s="7">
        <v>45245.0</v>
      </c>
      <c r="I324" s="8">
        <v>470.0</v>
      </c>
      <c r="J324" s="8">
        <v>292.34</v>
      </c>
      <c r="K324" s="8">
        <v>235.42</v>
      </c>
    </row>
    <row r="325">
      <c r="B325" s="6" t="s">
        <v>361</v>
      </c>
      <c r="C325" s="6" t="s">
        <v>61</v>
      </c>
      <c r="D325" s="6" t="s">
        <v>39</v>
      </c>
      <c r="E325" s="6" t="s">
        <v>32</v>
      </c>
      <c r="F325" s="6" t="s">
        <v>28</v>
      </c>
      <c r="G325" s="6" t="s">
        <v>18</v>
      </c>
      <c r="H325" s="7">
        <v>45246.0</v>
      </c>
      <c r="I325" s="8">
        <v>423.0</v>
      </c>
      <c r="J325" s="8">
        <v>48.94</v>
      </c>
      <c r="K325" s="8">
        <v>279.67</v>
      </c>
    </row>
    <row r="326">
      <c r="B326" s="6" t="s">
        <v>362</v>
      </c>
      <c r="C326" s="6" t="s">
        <v>20</v>
      </c>
      <c r="D326" s="6" t="s">
        <v>39</v>
      </c>
      <c r="E326" s="6" t="s">
        <v>16</v>
      </c>
      <c r="F326" s="6" t="s">
        <v>17</v>
      </c>
      <c r="G326" s="6" t="s">
        <v>23</v>
      </c>
      <c r="H326" s="7">
        <v>45247.0</v>
      </c>
      <c r="I326" s="8">
        <v>426.0</v>
      </c>
      <c r="J326" s="8">
        <v>481.02</v>
      </c>
      <c r="K326" s="8">
        <v>371.99</v>
      </c>
    </row>
    <row r="327">
      <c r="B327" s="6" t="s">
        <v>363</v>
      </c>
      <c r="C327" s="6" t="s">
        <v>26</v>
      </c>
      <c r="D327" s="6" t="s">
        <v>31</v>
      </c>
      <c r="E327" s="6" t="s">
        <v>32</v>
      </c>
      <c r="F327" s="6" t="s">
        <v>28</v>
      </c>
      <c r="G327" s="6" t="s">
        <v>33</v>
      </c>
      <c r="H327" s="7">
        <v>45248.0</v>
      </c>
      <c r="I327" s="8">
        <v>86.0</v>
      </c>
      <c r="J327" s="8">
        <v>319.31</v>
      </c>
      <c r="K327" s="8">
        <v>313.47</v>
      </c>
    </row>
    <row r="328">
      <c r="B328" s="6" t="s">
        <v>364</v>
      </c>
      <c r="C328" s="6" t="s">
        <v>20</v>
      </c>
      <c r="D328" s="6" t="s">
        <v>15</v>
      </c>
      <c r="E328" s="6" t="s">
        <v>22</v>
      </c>
      <c r="F328" s="6" t="s">
        <v>28</v>
      </c>
      <c r="G328" s="6" t="s">
        <v>18</v>
      </c>
      <c r="H328" s="7">
        <v>45249.0</v>
      </c>
      <c r="I328" s="8">
        <v>125.0</v>
      </c>
      <c r="J328" s="8">
        <v>378.64</v>
      </c>
      <c r="K328" s="8">
        <v>24.34</v>
      </c>
    </row>
    <row r="329">
      <c r="B329" s="6" t="s">
        <v>365</v>
      </c>
      <c r="C329" s="6" t="s">
        <v>61</v>
      </c>
      <c r="D329" s="6" t="s">
        <v>21</v>
      </c>
      <c r="E329" s="6"/>
      <c r="F329" s="6" t="s">
        <v>17</v>
      </c>
      <c r="G329" s="6" t="s">
        <v>18</v>
      </c>
      <c r="H329" s="7">
        <v>45250.0</v>
      </c>
      <c r="I329" s="8">
        <v>163.0</v>
      </c>
      <c r="J329" s="8">
        <v>89.39</v>
      </c>
      <c r="K329" s="8">
        <v>341.39</v>
      </c>
    </row>
    <row r="330">
      <c r="B330" s="6" t="s">
        <v>366</v>
      </c>
      <c r="C330" s="6" t="s">
        <v>61</v>
      </c>
      <c r="D330" s="6" t="s">
        <v>31</v>
      </c>
      <c r="E330" s="6" t="s">
        <v>16</v>
      </c>
      <c r="F330" s="6" t="s">
        <v>28</v>
      </c>
      <c r="G330" s="6" t="s">
        <v>23</v>
      </c>
      <c r="H330" s="7">
        <v>45251.0</v>
      </c>
      <c r="I330" s="8">
        <v>415.0</v>
      </c>
      <c r="J330" s="8">
        <v>207.69</v>
      </c>
      <c r="K330" s="8">
        <v>91.77</v>
      </c>
    </row>
    <row r="331">
      <c r="B331" s="6" t="s">
        <v>367</v>
      </c>
      <c r="C331" s="6" t="s">
        <v>61</v>
      </c>
      <c r="D331" s="6" t="s">
        <v>31</v>
      </c>
      <c r="E331" s="6" t="s">
        <v>32</v>
      </c>
      <c r="F331" s="6" t="s">
        <v>28</v>
      </c>
      <c r="G331" s="6" t="s">
        <v>33</v>
      </c>
      <c r="H331" s="7">
        <v>45252.0</v>
      </c>
      <c r="I331" s="8">
        <v>112.0</v>
      </c>
      <c r="J331" s="8">
        <v>214.23</v>
      </c>
      <c r="K331" s="8">
        <v>152.01</v>
      </c>
    </row>
    <row r="332">
      <c r="B332" s="6" t="s">
        <v>368</v>
      </c>
      <c r="C332" s="6" t="s">
        <v>14</v>
      </c>
      <c r="D332" s="6" t="s">
        <v>15</v>
      </c>
      <c r="E332" s="6" t="s">
        <v>22</v>
      </c>
      <c r="F332" s="6" t="s">
        <v>28</v>
      </c>
      <c r="G332" s="6" t="s">
        <v>23</v>
      </c>
      <c r="H332" s="7">
        <v>45253.0</v>
      </c>
      <c r="I332" s="8">
        <v>203.0</v>
      </c>
      <c r="J332" s="8">
        <v>411.79</v>
      </c>
      <c r="K332" s="8">
        <v>185.77</v>
      </c>
    </row>
    <row r="333">
      <c r="B333" s="6" t="s">
        <v>369</v>
      </c>
      <c r="C333" s="6" t="s">
        <v>14</v>
      </c>
      <c r="D333" s="6" t="s">
        <v>21</v>
      </c>
      <c r="E333" s="6" t="s">
        <v>55</v>
      </c>
      <c r="F333" s="6" t="s">
        <v>28</v>
      </c>
      <c r="G333" s="6" t="s">
        <v>33</v>
      </c>
      <c r="H333" s="7">
        <v>45254.0</v>
      </c>
      <c r="I333" s="6"/>
      <c r="J333" s="8">
        <v>5.61</v>
      </c>
      <c r="K333" s="8">
        <v>193.4</v>
      </c>
    </row>
    <row r="334">
      <c r="B334" s="6" t="s">
        <v>370</v>
      </c>
      <c r="C334" s="6" t="s">
        <v>20</v>
      </c>
      <c r="D334" s="6" t="s">
        <v>63</v>
      </c>
      <c r="E334" s="6" t="s">
        <v>16</v>
      </c>
      <c r="F334" s="6" t="s">
        <v>28</v>
      </c>
      <c r="G334" s="6" t="s">
        <v>33</v>
      </c>
      <c r="H334" s="7">
        <v>45255.0</v>
      </c>
      <c r="I334" s="8">
        <v>368.0</v>
      </c>
      <c r="J334" s="8">
        <v>153.92</v>
      </c>
      <c r="K334" s="8">
        <v>175.2</v>
      </c>
    </row>
    <row r="335">
      <c r="B335" s="6" t="s">
        <v>371</v>
      </c>
      <c r="C335" s="6" t="s">
        <v>20</v>
      </c>
      <c r="D335" s="6" t="s">
        <v>63</v>
      </c>
      <c r="E335" s="6" t="s">
        <v>55</v>
      </c>
      <c r="F335" s="6" t="s">
        <v>28</v>
      </c>
      <c r="G335" s="6" t="s">
        <v>33</v>
      </c>
      <c r="H335" s="7">
        <v>45256.0</v>
      </c>
      <c r="I335" s="8">
        <v>99.0</v>
      </c>
      <c r="J335" s="8">
        <v>490.71</v>
      </c>
      <c r="K335" s="8">
        <v>375.07</v>
      </c>
    </row>
    <row r="336">
      <c r="B336" s="6" t="s">
        <v>372</v>
      </c>
      <c r="C336" s="6" t="s">
        <v>26</v>
      </c>
      <c r="D336" s="6" t="s">
        <v>31</v>
      </c>
      <c r="E336" s="6" t="s">
        <v>55</v>
      </c>
      <c r="F336" s="6" t="s">
        <v>17</v>
      </c>
      <c r="G336" s="6" t="s">
        <v>18</v>
      </c>
      <c r="H336" s="7">
        <v>45257.0</v>
      </c>
      <c r="I336" s="8">
        <v>183.0</v>
      </c>
      <c r="J336" s="8">
        <v>240.07</v>
      </c>
      <c r="K336" s="8">
        <v>283.0</v>
      </c>
    </row>
    <row r="337">
      <c r="B337" s="6" t="s">
        <v>373</v>
      </c>
      <c r="C337" s="6"/>
      <c r="D337" s="6" t="s">
        <v>21</v>
      </c>
      <c r="E337" s="6" t="s">
        <v>55</v>
      </c>
      <c r="F337" s="6" t="s">
        <v>28</v>
      </c>
      <c r="G337" s="6" t="s">
        <v>23</v>
      </c>
      <c r="H337" s="7">
        <v>45258.0</v>
      </c>
      <c r="I337" s="8">
        <v>131.0</v>
      </c>
      <c r="J337" s="8">
        <v>194.35</v>
      </c>
      <c r="K337" s="8">
        <v>253.21</v>
      </c>
    </row>
    <row r="338">
      <c r="B338" s="6" t="s">
        <v>374</v>
      </c>
      <c r="C338" s="6" t="s">
        <v>20</v>
      </c>
      <c r="D338" s="6" t="s">
        <v>31</v>
      </c>
      <c r="E338" s="6" t="s">
        <v>27</v>
      </c>
      <c r="F338" s="6" t="s">
        <v>28</v>
      </c>
      <c r="G338" s="6" t="s">
        <v>23</v>
      </c>
      <c r="H338" s="7">
        <v>45259.0</v>
      </c>
      <c r="I338" s="8">
        <v>152.0</v>
      </c>
      <c r="J338" s="8">
        <v>64.32</v>
      </c>
      <c r="K338" s="8">
        <v>21.84</v>
      </c>
    </row>
    <row r="339">
      <c r="B339" s="6" t="s">
        <v>375</v>
      </c>
      <c r="C339" s="6" t="s">
        <v>14</v>
      </c>
      <c r="D339" s="6" t="s">
        <v>39</v>
      </c>
      <c r="E339" s="6" t="s">
        <v>27</v>
      </c>
      <c r="F339" s="6" t="s">
        <v>28</v>
      </c>
      <c r="G339" s="6" t="s">
        <v>33</v>
      </c>
      <c r="H339" s="7">
        <v>45260.0</v>
      </c>
      <c r="I339" s="8">
        <v>491.0</v>
      </c>
      <c r="J339" s="8">
        <v>487.21</v>
      </c>
      <c r="K339" s="8">
        <v>361.76</v>
      </c>
    </row>
    <row r="340">
      <c r="B340" s="6" t="s">
        <v>376</v>
      </c>
      <c r="C340" s="6" t="s">
        <v>61</v>
      </c>
      <c r="D340" s="6" t="s">
        <v>31</v>
      </c>
      <c r="E340" s="6" t="s">
        <v>55</v>
      </c>
      <c r="F340" s="6" t="s">
        <v>17</v>
      </c>
      <c r="G340" s="6" t="s">
        <v>18</v>
      </c>
      <c r="H340" s="7">
        <v>45261.0</v>
      </c>
      <c r="I340" s="8">
        <v>115.0</v>
      </c>
      <c r="J340" s="8">
        <v>14.91</v>
      </c>
      <c r="K340" s="8">
        <v>363.94</v>
      </c>
    </row>
    <row r="341">
      <c r="B341" s="6" t="s">
        <v>377</v>
      </c>
      <c r="C341" s="6" t="s">
        <v>20</v>
      </c>
      <c r="D341" s="6" t="s">
        <v>31</v>
      </c>
      <c r="E341" s="6" t="s">
        <v>16</v>
      </c>
      <c r="F341" s="6" t="s">
        <v>28</v>
      </c>
      <c r="G341" s="6" t="s">
        <v>18</v>
      </c>
      <c r="H341" s="7">
        <v>45262.0</v>
      </c>
      <c r="I341" s="8">
        <v>384.0</v>
      </c>
      <c r="J341" s="8">
        <v>369.9</v>
      </c>
      <c r="K341" s="8">
        <v>312.52</v>
      </c>
    </row>
    <row r="342">
      <c r="B342" s="6" t="s">
        <v>378</v>
      </c>
      <c r="C342" s="6" t="s">
        <v>26</v>
      </c>
      <c r="D342" s="6" t="s">
        <v>63</v>
      </c>
      <c r="E342" s="6" t="s">
        <v>22</v>
      </c>
      <c r="F342" s="6" t="s">
        <v>17</v>
      </c>
      <c r="G342" s="6" t="s">
        <v>23</v>
      </c>
      <c r="H342" s="7">
        <v>45263.0</v>
      </c>
      <c r="I342" s="8">
        <v>437.0</v>
      </c>
      <c r="J342" s="8">
        <v>385.46</v>
      </c>
      <c r="K342" s="8">
        <v>4.8</v>
      </c>
    </row>
    <row r="343">
      <c r="B343" s="6" t="s">
        <v>379</v>
      </c>
      <c r="C343" s="6" t="s">
        <v>14</v>
      </c>
      <c r="D343" s="6" t="s">
        <v>63</v>
      </c>
      <c r="E343" s="6" t="s">
        <v>22</v>
      </c>
      <c r="F343" s="6" t="s">
        <v>28</v>
      </c>
      <c r="G343" s="6" t="s">
        <v>18</v>
      </c>
      <c r="H343" s="7">
        <v>45264.0</v>
      </c>
      <c r="I343" s="8">
        <v>314.0</v>
      </c>
      <c r="J343" s="8">
        <v>125.61</v>
      </c>
      <c r="K343" s="8">
        <v>24.8</v>
      </c>
    </row>
    <row r="344">
      <c r="B344" s="6" t="s">
        <v>380</v>
      </c>
      <c r="C344" s="6" t="s">
        <v>20</v>
      </c>
      <c r="D344" s="6" t="s">
        <v>63</v>
      </c>
      <c r="E344" s="6" t="s">
        <v>32</v>
      </c>
      <c r="F344" s="6" t="s">
        <v>17</v>
      </c>
      <c r="G344" s="6" t="s">
        <v>18</v>
      </c>
      <c r="H344" s="7">
        <v>45265.0</v>
      </c>
      <c r="I344" s="8">
        <v>369.0</v>
      </c>
      <c r="J344" s="8">
        <v>337.42</v>
      </c>
      <c r="K344" s="8">
        <v>91.64</v>
      </c>
    </row>
    <row r="345">
      <c r="B345" s="6" t="s">
        <v>381</v>
      </c>
      <c r="C345" s="6" t="s">
        <v>20</v>
      </c>
      <c r="D345" s="6" t="s">
        <v>39</v>
      </c>
      <c r="E345" s="6" t="s">
        <v>16</v>
      </c>
      <c r="F345" s="6" t="s">
        <v>17</v>
      </c>
      <c r="G345" s="6" t="s">
        <v>33</v>
      </c>
      <c r="H345" s="7">
        <v>45266.0</v>
      </c>
      <c r="I345" s="8">
        <v>468.0</v>
      </c>
      <c r="J345" s="8">
        <v>51.0</v>
      </c>
      <c r="K345" s="8">
        <v>54.28</v>
      </c>
    </row>
    <row r="346">
      <c r="B346" s="6" t="s">
        <v>382</v>
      </c>
      <c r="C346" s="6" t="s">
        <v>14</v>
      </c>
      <c r="D346" s="6" t="s">
        <v>63</v>
      </c>
      <c r="E346" s="6" t="s">
        <v>27</v>
      </c>
      <c r="F346" s="6" t="s">
        <v>28</v>
      </c>
      <c r="G346" s="6" t="s">
        <v>18</v>
      </c>
      <c r="H346" s="7">
        <v>45267.0</v>
      </c>
      <c r="I346" s="8">
        <v>326.0</v>
      </c>
      <c r="J346" s="8">
        <v>132.24</v>
      </c>
      <c r="K346" s="8">
        <v>160.74</v>
      </c>
    </row>
    <row r="347">
      <c r="B347" s="6" t="s">
        <v>383</v>
      </c>
      <c r="C347" s="6" t="s">
        <v>20</v>
      </c>
      <c r="D347" s="6" t="s">
        <v>21</v>
      </c>
      <c r="E347" s="6" t="s">
        <v>55</v>
      </c>
      <c r="F347" s="6" t="s">
        <v>28</v>
      </c>
      <c r="G347" s="6" t="s">
        <v>33</v>
      </c>
      <c r="H347" s="7">
        <v>45268.0</v>
      </c>
      <c r="I347" s="8">
        <v>460.0</v>
      </c>
      <c r="J347" s="8">
        <v>395.01</v>
      </c>
      <c r="K347" s="8">
        <v>369.2</v>
      </c>
    </row>
    <row r="348">
      <c r="B348" s="6" t="s">
        <v>384</v>
      </c>
      <c r="C348" s="6" t="s">
        <v>14</v>
      </c>
      <c r="D348" s="6" t="s">
        <v>15</v>
      </c>
      <c r="E348" s="6" t="s">
        <v>32</v>
      </c>
      <c r="F348" s="6" t="s">
        <v>17</v>
      </c>
      <c r="G348" s="6" t="s">
        <v>23</v>
      </c>
      <c r="H348" s="7">
        <v>45269.0</v>
      </c>
      <c r="I348" s="8">
        <v>132.0</v>
      </c>
      <c r="J348" s="8">
        <v>433.02</v>
      </c>
      <c r="K348" s="8">
        <v>189.88</v>
      </c>
    </row>
    <row r="349">
      <c r="B349" s="6" t="s">
        <v>385</v>
      </c>
      <c r="C349" s="6" t="s">
        <v>61</v>
      </c>
      <c r="D349" s="6" t="s">
        <v>21</v>
      </c>
      <c r="E349" s="6" t="s">
        <v>22</v>
      </c>
      <c r="F349" s="6" t="s">
        <v>28</v>
      </c>
      <c r="G349" s="6" t="s">
        <v>18</v>
      </c>
      <c r="H349" s="7">
        <v>45270.0</v>
      </c>
      <c r="I349" s="8">
        <v>399.0</v>
      </c>
      <c r="J349" s="8">
        <v>306.2</v>
      </c>
      <c r="K349" s="8">
        <v>7.33</v>
      </c>
    </row>
    <row r="350">
      <c r="B350" s="6" t="s">
        <v>386</v>
      </c>
      <c r="C350" s="6" t="s">
        <v>14</v>
      </c>
      <c r="D350" s="6" t="s">
        <v>21</v>
      </c>
      <c r="E350" s="6" t="s">
        <v>27</v>
      </c>
      <c r="F350" s="6" t="s">
        <v>17</v>
      </c>
      <c r="G350" s="6" t="s">
        <v>23</v>
      </c>
      <c r="H350" s="7">
        <v>45271.0</v>
      </c>
      <c r="I350" s="8">
        <v>18.0</v>
      </c>
      <c r="J350" s="8">
        <v>255.89</v>
      </c>
      <c r="K350" s="8">
        <v>114.53</v>
      </c>
    </row>
    <row r="351">
      <c r="B351" s="6" t="s">
        <v>387</v>
      </c>
      <c r="C351" s="6" t="s">
        <v>14</v>
      </c>
      <c r="D351" s="6" t="s">
        <v>63</v>
      </c>
      <c r="E351" s="6" t="s">
        <v>27</v>
      </c>
      <c r="F351" s="6" t="s">
        <v>17</v>
      </c>
      <c r="G351" s="6" t="s">
        <v>23</v>
      </c>
      <c r="H351" s="7">
        <v>45272.0</v>
      </c>
      <c r="I351" s="8">
        <v>271.0</v>
      </c>
      <c r="J351" s="8">
        <v>83.86</v>
      </c>
      <c r="K351" s="8">
        <v>19.75</v>
      </c>
    </row>
    <row r="352">
      <c r="B352" s="6" t="s">
        <v>388</v>
      </c>
      <c r="C352" s="6"/>
      <c r="D352" s="6" t="s">
        <v>15</v>
      </c>
      <c r="E352" s="6" t="s">
        <v>55</v>
      </c>
      <c r="F352" s="6" t="s">
        <v>17</v>
      </c>
      <c r="G352" s="6" t="s">
        <v>18</v>
      </c>
      <c r="H352" s="7">
        <v>45273.0</v>
      </c>
      <c r="I352" s="8">
        <v>82.0</v>
      </c>
      <c r="J352" s="8">
        <v>36.24</v>
      </c>
      <c r="K352" s="8">
        <v>16.44</v>
      </c>
    </row>
    <row r="353">
      <c r="B353" s="6" t="s">
        <v>389</v>
      </c>
      <c r="C353" s="6" t="s">
        <v>20</v>
      </c>
      <c r="D353" s="6" t="s">
        <v>15</v>
      </c>
      <c r="E353" s="6" t="s">
        <v>22</v>
      </c>
      <c r="F353" s="6" t="s">
        <v>17</v>
      </c>
      <c r="G353" s="6" t="s">
        <v>18</v>
      </c>
      <c r="H353" s="7">
        <v>45274.0</v>
      </c>
      <c r="I353" s="8">
        <v>368.0</v>
      </c>
      <c r="J353" s="8">
        <v>63.24</v>
      </c>
      <c r="K353" s="8">
        <v>111.74</v>
      </c>
    </row>
    <row r="354">
      <c r="B354" s="6" t="s">
        <v>390</v>
      </c>
      <c r="C354" s="6" t="s">
        <v>20</v>
      </c>
      <c r="D354" s="6" t="s">
        <v>15</v>
      </c>
      <c r="E354" s="6" t="s">
        <v>16</v>
      </c>
      <c r="F354" s="6" t="s">
        <v>17</v>
      </c>
      <c r="G354" s="6" t="s">
        <v>23</v>
      </c>
      <c r="H354" s="7">
        <v>45275.0</v>
      </c>
      <c r="I354" s="8">
        <v>232.0</v>
      </c>
      <c r="J354" s="8">
        <v>117.54</v>
      </c>
      <c r="K354" s="8">
        <v>111.69</v>
      </c>
    </row>
    <row r="355">
      <c r="B355" s="6" t="s">
        <v>391</v>
      </c>
      <c r="C355" s="6" t="s">
        <v>14</v>
      </c>
      <c r="D355" s="6" t="s">
        <v>39</v>
      </c>
      <c r="E355" s="6" t="s">
        <v>27</v>
      </c>
      <c r="F355" s="6" t="s">
        <v>28</v>
      </c>
      <c r="G355" s="6" t="s">
        <v>18</v>
      </c>
      <c r="H355" s="7">
        <v>45276.0</v>
      </c>
      <c r="I355" s="8">
        <v>425.0</v>
      </c>
      <c r="J355" s="8">
        <v>174.13</v>
      </c>
      <c r="K355" s="8">
        <v>315.28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M1" s="14" t="str">
        <f t="array" ref="M1">INDEX(C5:C355, _xlfn.MODE.MULT(IF(C5:C355&lt;&gt;"", MATCH(C5:C355, C5:C355, 0))))
</f>
        <v>West</v>
      </c>
      <c r="N1" s="14" t="str">
        <f t="array" ref="N1">INDEX(E5:E355, _xlfn.MODE.MULT(IF(E5:E355&lt;&gt;"", MATCH(E5:E355, E5:E355, 0))))
</f>
        <v>Beverages</v>
      </c>
    </row>
    <row r="3">
      <c r="A3" s="15" t="s">
        <v>392</v>
      </c>
      <c r="B3" s="15" t="s">
        <v>393</v>
      </c>
      <c r="C3" s="16"/>
      <c r="D3" s="16"/>
      <c r="E3" s="16"/>
      <c r="F3" s="16"/>
      <c r="G3" s="3"/>
      <c r="H3" s="3"/>
    </row>
    <row r="5">
      <c r="A5" s="5" t="s">
        <v>12</v>
      </c>
      <c r="B5" s="17" t="s">
        <v>394</v>
      </c>
      <c r="C5" s="4" t="s">
        <v>3</v>
      </c>
      <c r="D5" s="4" t="s">
        <v>4</v>
      </c>
      <c r="E5" s="4" t="s">
        <v>5</v>
      </c>
      <c r="F5" s="4" t="s">
        <v>6</v>
      </c>
      <c r="G5" s="4" t="s">
        <v>7</v>
      </c>
      <c r="H5" s="4" t="s">
        <v>8</v>
      </c>
      <c r="I5" s="4" t="s">
        <v>9</v>
      </c>
      <c r="J5" s="4" t="s">
        <v>10</v>
      </c>
      <c r="K5" s="4" t="s">
        <v>11</v>
      </c>
      <c r="N5" s="18"/>
      <c r="O5" s="19" t="str">
        <f t="shared" ref="O5:O355" si="1">IF(C5="", $M$1, C5)
</f>
        <v>Region</v>
      </c>
      <c r="P5" s="19" t="str">
        <f t="shared" ref="P5:P355" si="2">IF(E5="", $N$1, E5)
</f>
        <v>Category</v>
      </c>
      <c r="Q5" s="18"/>
    </row>
    <row r="6">
      <c r="B6" s="6" t="s">
        <v>13</v>
      </c>
      <c r="C6" s="6" t="s">
        <v>14</v>
      </c>
      <c r="D6" s="6" t="s">
        <v>15</v>
      </c>
      <c r="E6" s="6" t="s">
        <v>16</v>
      </c>
      <c r="F6" s="6" t="s">
        <v>17</v>
      </c>
      <c r="G6" s="6" t="s">
        <v>18</v>
      </c>
      <c r="H6" s="7">
        <v>44927.0</v>
      </c>
      <c r="I6" s="8">
        <v>235.0</v>
      </c>
      <c r="J6" s="8">
        <v>152.92</v>
      </c>
      <c r="K6" s="8">
        <v>153.6</v>
      </c>
      <c r="O6" s="14" t="str">
        <f t="shared" si="1"/>
        <v>East</v>
      </c>
      <c r="P6" s="14" t="str">
        <f t="shared" si="2"/>
        <v>Beverages</v>
      </c>
      <c r="R6" s="20"/>
      <c r="S6" s="20"/>
      <c r="T6" s="20"/>
      <c r="U6" s="20"/>
      <c r="V6" s="20"/>
    </row>
    <row r="7">
      <c r="B7" s="6" t="s">
        <v>19</v>
      </c>
      <c r="C7" s="6" t="s">
        <v>20</v>
      </c>
      <c r="D7" s="6" t="s">
        <v>21</v>
      </c>
      <c r="E7" s="6" t="s">
        <v>22</v>
      </c>
      <c r="F7" s="6" t="s">
        <v>17</v>
      </c>
      <c r="G7" s="6" t="s">
        <v>23</v>
      </c>
      <c r="H7" s="7">
        <v>44928.0</v>
      </c>
      <c r="I7" s="8">
        <v>341.0</v>
      </c>
      <c r="J7" s="8">
        <v>467.92</v>
      </c>
      <c r="K7" s="8">
        <v>139.84</v>
      </c>
      <c r="O7" s="14" t="str">
        <f t="shared" si="1"/>
        <v>West</v>
      </c>
      <c r="P7" s="14" t="str">
        <f t="shared" si="2"/>
        <v>Food</v>
      </c>
      <c r="R7" s="21" t="s">
        <v>395</v>
      </c>
      <c r="S7" s="22"/>
      <c r="T7" s="22"/>
      <c r="U7" s="22"/>
      <c r="V7" s="22"/>
    </row>
    <row r="8">
      <c r="B8" s="6" t="s">
        <v>25</v>
      </c>
      <c r="C8" s="6" t="s">
        <v>26</v>
      </c>
      <c r="D8" s="6" t="s">
        <v>21</v>
      </c>
      <c r="E8" s="6" t="s">
        <v>27</v>
      </c>
      <c r="F8" s="6" t="s">
        <v>28</v>
      </c>
      <c r="G8" s="6" t="s">
        <v>18</v>
      </c>
      <c r="H8" s="7">
        <v>44929.0</v>
      </c>
      <c r="I8" s="8">
        <v>179.0</v>
      </c>
      <c r="J8" s="8">
        <v>473.94</v>
      </c>
      <c r="K8" s="8">
        <v>97.14</v>
      </c>
      <c r="O8" s="14" t="str">
        <f t="shared" si="1"/>
        <v>North</v>
      </c>
      <c r="P8" s="14" t="str">
        <f t="shared" si="2"/>
        <v>Clothing</v>
      </c>
      <c r="R8" s="21" t="s">
        <v>396</v>
      </c>
      <c r="S8" s="22"/>
      <c r="T8" s="22"/>
      <c r="U8" s="22"/>
      <c r="V8" s="22"/>
    </row>
    <row r="9">
      <c r="B9" s="6" t="s">
        <v>30</v>
      </c>
      <c r="C9" s="6" t="s">
        <v>14</v>
      </c>
      <c r="D9" s="6" t="s">
        <v>31</v>
      </c>
      <c r="E9" s="6" t="s">
        <v>32</v>
      </c>
      <c r="F9" s="6" t="s">
        <v>28</v>
      </c>
      <c r="G9" s="6" t="s">
        <v>33</v>
      </c>
      <c r="H9" s="7">
        <v>44930.0</v>
      </c>
      <c r="I9" s="8">
        <v>18.0</v>
      </c>
      <c r="J9" s="8">
        <v>314.53</v>
      </c>
      <c r="K9" s="8">
        <v>204.87</v>
      </c>
      <c r="O9" s="14" t="str">
        <f t="shared" si="1"/>
        <v>East</v>
      </c>
      <c r="P9" s="14" t="str">
        <f t="shared" si="2"/>
        <v>Furniture</v>
      </c>
      <c r="R9" s="22"/>
      <c r="S9" s="22"/>
      <c r="T9" s="22"/>
      <c r="U9" s="22"/>
      <c r="V9" s="22"/>
    </row>
    <row r="10">
      <c r="B10" s="6" t="s">
        <v>36</v>
      </c>
      <c r="C10" s="6" t="s">
        <v>14</v>
      </c>
      <c r="D10" s="6" t="s">
        <v>21</v>
      </c>
      <c r="E10" s="6" t="s">
        <v>32</v>
      </c>
      <c r="F10" s="6" t="s">
        <v>28</v>
      </c>
      <c r="G10" s="6" t="s">
        <v>33</v>
      </c>
      <c r="H10" s="7">
        <v>44931.0</v>
      </c>
      <c r="I10" s="8">
        <v>472.0</v>
      </c>
      <c r="J10" s="8">
        <v>392.79</v>
      </c>
      <c r="K10" s="8">
        <v>330.46</v>
      </c>
      <c r="O10" s="14" t="str">
        <f t="shared" si="1"/>
        <v>East</v>
      </c>
      <c r="P10" s="14" t="str">
        <f t="shared" si="2"/>
        <v>Furniture</v>
      </c>
      <c r="R10" s="21" t="s">
        <v>397</v>
      </c>
      <c r="S10" s="22"/>
      <c r="T10" s="22"/>
      <c r="U10" s="22"/>
      <c r="V10" s="22"/>
    </row>
    <row r="11">
      <c r="B11" s="6" t="s">
        <v>38</v>
      </c>
      <c r="C11" s="6" t="s">
        <v>20</v>
      </c>
      <c r="D11" s="6" t="s">
        <v>39</v>
      </c>
      <c r="E11" s="6" t="s">
        <v>27</v>
      </c>
      <c r="F11" s="6" t="s">
        <v>17</v>
      </c>
      <c r="G11" s="6" t="s">
        <v>18</v>
      </c>
      <c r="H11" s="7">
        <v>44932.0</v>
      </c>
      <c r="I11" s="8">
        <v>49.0</v>
      </c>
      <c r="J11" s="8">
        <v>308.07</v>
      </c>
      <c r="K11" s="8">
        <v>113.32</v>
      </c>
      <c r="O11" s="14" t="str">
        <f t="shared" si="1"/>
        <v>West</v>
      </c>
      <c r="P11" s="14" t="str">
        <f t="shared" si="2"/>
        <v>Clothing</v>
      </c>
      <c r="R11" s="21" t="s">
        <v>398</v>
      </c>
      <c r="S11" s="22"/>
      <c r="T11" s="22"/>
      <c r="U11" s="22"/>
      <c r="V11" s="22"/>
    </row>
    <row r="12">
      <c r="B12" s="6" t="s">
        <v>42</v>
      </c>
      <c r="C12" s="6" t="s">
        <v>26</v>
      </c>
      <c r="D12" s="6" t="s">
        <v>15</v>
      </c>
      <c r="E12" s="6" t="s">
        <v>27</v>
      </c>
      <c r="F12" s="6" t="s">
        <v>17</v>
      </c>
      <c r="G12" s="6" t="s">
        <v>23</v>
      </c>
      <c r="H12" s="7">
        <v>44933.0</v>
      </c>
      <c r="I12" s="8">
        <v>34.0</v>
      </c>
      <c r="J12" s="8">
        <v>244.78</v>
      </c>
      <c r="K12" s="8">
        <v>377.07</v>
      </c>
      <c r="O12" s="14" t="str">
        <f t="shared" si="1"/>
        <v>North</v>
      </c>
      <c r="P12" s="14" t="str">
        <f t="shared" si="2"/>
        <v>Clothing</v>
      </c>
      <c r="R12" s="21" t="s">
        <v>399</v>
      </c>
      <c r="S12" s="22"/>
      <c r="T12" s="22"/>
      <c r="U12" s="22"/>
      <c r="V12" s="22"/>
    </row>
    <row r="13">
      <c r="B13" s="6" t="s">
        <v>44</v>
      </c>
      <c r="C13" s="6" t="s">
        <v>26</v>
      </c>
      <c r="D13" s="6" t="s">
        <v>21</v>
      </c>
      <c r="E13" s="6" t="s">
        <v>16</v>
      </c>
      <c r="F13" s="6" t="s">
        <v>17</v>
      </c>
      <c r="G13" s="6" t="s">
        <v>18</v>
      </c>
      <c r="H13" s="7">
        <v>44934.0</v>
      </c>
      <c r="I13" s="8">
        <v>270.0</v>
      </c>
      <c r="J13" s="8">
        <v>332.11</v>
      </c>
      <c r="K13" s="8">
        <v>349.59</v>
      </c>
      <c r="O13" s="14" t="str">
        <f t="shared" si="1"/>
        <v>North</v>
      </c>
      <c r="P13" s="14" t="str">
        <f t="shared" si="2"/>
        <v>Beverages</v>
      </c>
      <c r="R13" s="22"/>
      <c r="S13" s="22"/>
      <c r="T13" s="22"/>
      <c r="U13" s="22"/>
      <c r="V13" s="22"/>
    </row>
    <row r="14">
      <c r="B14" s="6" t="s">
        <v>45</v>
      </c>
      <c r="C14" s="6" t="s">
        <v>14</v>
      </c>
      <c r="D14" s="6" t="s">
        <v>21</v>
      </c>
      <c r="E14" s="6" t="s">
        <v>16</v>
      </c>
      <c r="F14" s="6" t="s">
        <v>17</v>
      </c>
      <c r="G14" s="6" t="s">
        <v>23</v>
      </c>
      <c r="H14" s="7">
        <v>44935.0</v>
      </c>
      <c r="I14" s="8">
        <v>404.0</v>
      </c>
      <c r="J14" s="8">
        <v>278.74</v>
      </c>
      <c r="K14" s="8">
        <v>66.38</v>
      </c>
      <c r="O14" s="14" t="str">
        <f t="shared" si="1"/>
        <v>East</v>
      </c>
      <c r="P14" s="14" t="str">
        <f t="shared" si="2"/>
        <v>Beverages</v>
      </c>
      <c r="R14" s="21" t="s">
        <v>400</v>
      </c>
      <c r="S14" s="22"/>
      <c r="T14" s="22"/>
      <c r="U14" s="22"/>
      <c r="V14" s="22"/>
    </row>
    <row r="15">
      <c r="B15" s="6" t="s">
        <v>47</v>
      </c>
      <c r="C15" s="6"/>
      <c r="D15" s="6" t="s">
        <v>31</v>
      </c>
      <c r="E15" s="6" t="s">
        <v>32</v>
      </c>
      <c r="F15" s="6" t="s">
        <v>17</v>
      </c>
      <c r="G15" s="6" t="s">
        <v>33</v>
      </c>
      <c r="H15" s="7">
        <v>44936.0</v>
      </c>
      <c r="I15" s="8">
        <v>452.0</v>
      </c>
      <c r="J15" s="8">
        <v>300.75</v>
      </c>
      <c r="K15" s="8">
        <v>314.94</v>
      </c>
      <c r="O15" s="14" t="str">
        <f t="shared" si="1"/>
        <v>West</v>
      </c>
      <c r="P15" s="14" t="str">
        <f t="shared" si="2"/>
        <v>Furniture</v>
      </c>
      <c r="R15" s="21" t="s">
        <v>401</v>
      </c>
      <c r="S15" s="22"/>
      <c r="T15" s="22"/>
      <c r="U15" s="22"/>
      <c r="V15" s="22"/>
    </row>
    <row r="16">
      <c r="B16" s="6" t="s">
        <v>49</v>
      </c>
      <c r="C16" s="6" t="s">
        <v>14</v>
      </c>
      <c r="D16" s="6" t="s">
        <v>31</v>
      </c>
      <c r="E16" s="6" t="s">
        <v>22</v>
      </c>
      <c r="F16" s="6" t="s">
        <v>17</v>
      </c>
      <c r="G16" s="6" t="s">
        <v>23</v>
      </c>
      <c r="H16" s="7">
        <v>44937.0</v>
      </c>
      <c r="I16" s="8">
        <v>235.0</v>
      </c>
      <c r="J16" s="8">
        <v>393.0</v>
      </c>
      <c r="K16" s="8">
        <v>230.69</v>
      </c>
      <c r="O16" s="14" t="str">
        <f t="shared" si="1"/>
        <v>East</v>
      </c>
      <c r="P16" s="14" t="str">
        <f t="shared" si="2"/>
        <v>Food</v>
      </c>
      <c r="R16" s="22"/>
      <c r="S16" s="22"/>
      <c r="T16" s="22"/>
      <c r="U16" s="22"/>
      <c r="V16" s="22"/>
    </row>
    <row r="17">
      <c r="B17" s="6" t="s">
        <v>50</v>
      </c>
      <c r="C17" s="6" t="s">
        <v>14</v>
      </c>
      <c r="D17" s="6" t="s">
        <v>39</v>
      </c>
      <c r="E17" s="6" t="s">
        <v>32</v>
      </c>
      <c r="F17" s="6" t="s">
        <v>28</v>
      </c>
      <c r="G17" s="6" t="s">
        <v>33</v>
      </c>
      <c r="H17" s="7">
        <v>44938.0</v>
      </c>
      <c r="I17" s="8">
        <v>481.0</v>
      </c>
      <c r="J17" s="8">
        <v>243.05</v>
      </c>
      <c r="K17" s="8">
        <v>227.5</v>
      </c>
      <c r="O17" s="14" t="str">
        <f t="shared" si="1"/>
        <v>East</v>
      </c>
      <c r="P17" s="14" t="str">
        <f t="shared" si="2"/>
        <v>Furniture</v>
      </c>
      <c r="R17" s="21" t="s">
        <v>402</v>
      </c>
      <c r="S17" s="22"/>
      <c r="T17" s="22"/>
      <c r="U17" s="22"/>
      <c r="V17" s="22"/>
    </row>
    <row r="18">
      <c r="B18" s="6" t="s">
        <v>51</v>
      </c>
      <c r="C18" s="6" t="s">
        <v>14</v>
      </c>
      <c r="D18" s="6" t="s">
        <v>15</v>
      </c>
      <c r="E18" s="6" t="s">
        <v>22</v>
      </c>
      <c r="F18" s="6" t="s">
        <v>28</v>
      </c>
      <c r="G18" s="6" t="s">
        <v>23</v>
      </c>
      <c r="H18" s="7">
        <v>44939.0</v>
      </c>
      <c r="I18" s="8">
        <v>133.0</v>
      </c>
      <c r="J18" s="8">
        <v>25.17</v>
      </c>
      <c r="K18" s="8">
        <v>157.64</v>
      </c>
      <c r="O18" s="14" t="str">
        <f t="shared" si="1"/>
        <v>East</v>
      </c>
      <c r="P18" s="14" t="str">
        <f t="shared" si="2"/>
        <v>Food</v>
      </c>
      <c r="R18" s="21" t="s">
        <v>403</v>
      </c>
      <c r="S18" s="22"/>
      <c r="T18" s="22"/>
      <c r="U18" s="22"/>
      <c r="V18" s="22"/>
    </row>
    <row r="19">
      <c r="B19" s="6" t="s">
        <v>52</v>
      </c>
      <c r="C19" s="6" t="s">
        <v>14</v>
      </c>
      <c r="D19" s="6" t="s">
        <v>31</v>
      </c>
      <c r="E19" s="6" t="s">
        <v>22</v>
      </c>
      <c r="F19" s="6" t="s">
        <v>28</v>
      </c>
      <c r="G19" s="6" t="s">
        <v>23</v>
      </c>
      <c r="H19" s="7">
        <v>44940.0</v>
      </c>
      <c r="I19" s="8">
        <v>472.0</v>
      </c>
      <c r="J19" s="8">
        <v>86.18</v>
      </c>
      <c r="K19" s="8">
        <v>201.46</v>
      </c>
      <c r="O19" s="14" t="str">
        <f t="shared" si="1"/>
        <v>East</v>
      </c>
      <c r="P19" s="14" t="str">
        <f t="shared" si="2"/>
        <v>Food</v>
      </c>
      <c r="R19" s="20"/>
      <c r="S19" s="20"/>
      <c r="T19" s="20"/>
      <c r="U19" s="20"/>
      <c r="V19" s="20"/>
    </row>
    <row r="20">
      <c r="B20" s="6" t="s">
        <v>53</v>
      </c>
      <c r="C20" s="6" t="s">
        <v>20</v>
      </c>
      <c r="D20" s="6" t="s">
        <v>21</v>
      </c>
      <c r="E20" s="6" t="s">
        <v>16</v>
      </c>
      <c r="F20" s="6" t="s">
        <v>28</v>
      </c>
      <c r="G20" s="6" t="s">
        <v>23</v>
      </c>
      <c r="H20" s="7">
        <v>44941.0</v>
      </c>
      <c r="I20" s="8">
        <v>47.0</v>
      </c>
      <c r="J20" s="8">
        <v>222.11</v>
      </c>
      <c r="K20" s="8">
        <v>160.08</v>
      </c>
      <c r="O20" s="14" t="str">
        <f t="shared" si="1"/>
        <v>West</v>
      </c>
      <c r="P20" s="14" t="str">
        <f t="shared" si="2"/>
        <v>Beverages</v>
      </c>
    </row>
    <row r="21">
      <c r="B21" s="6" t="s">
        <v>54</v>
      </c>
      <c r="C21" s="6" t="s">
        <v>26</v>
      </c>
      <c r="D21" s="6" t="s">
        <v>15</v>
      </c>
      <c r="E21" s="6" t="s">
        <v>55</v>
      </c>
      <c r="F21" s="6" t="s">
        <v>17</v>
      </c>
      <c r="G21" s="6" t="s">
        <v>18</v>
      </c>
      <c r="H21" s="7">
        <v>44942.0</v>
      </c>
      <c r="I21" s="8">
        <v>337.0</v>
      </c>
      <c r="J21" s="8">
        <v>363.79</v>
      </c>
      <c r="K21" s="8">
        <v>216.81</v>
      </c>
      <c r="O21" s="14" t="str">
        <f t="shared" si="1"/>
        <v>North</v>
      </c>
      <c r="P21" s="14" t="str">
        <f t="shared" si="2"/>
        <v>Electronics</v>
      </c>
    </row>
    <row r="22">
      <c r="B22" s="6" t="s">
        <v>56</v>
      </c>
      <c r="C22" s="6" t="s">
        <v>20</v>
      </c>
      <c r="D22" s="6" t="s">
        <v>15</v>
      </c>
      <c r="E22" s="6" t="s">
        <v>55</v>
      </c>
      <c r="F22" s="6" t="s">
        <v>17</v>
      </c>
      <c r="G22" s="6" t="s">
        <v>18</v>
      </c>
      <c r="H22" s="7">
        <v>44943.0</v>
      </c>
      <c r="I22" s="8">
        <v>260.0</v>
      </c>
      <c r="J22" s="8">
        <v>298.67</v>
      </c>
      <c r="K22" s="8">
        <v>251.92</v>
      </c>
      <c r="O22" s="14" t="str">
        <f t="shared" si="1"/>
        <v>West</v>
      </c>
      <c r="P22" s="14" t="str">
        <f t="shared" si="2"/>
        <v>Electronics</v>
      </c>
    </row>
    <row r="23">
      <c r="B23" s="6" t="s">
        <v>57</v>
      </c>
      <c r="C23" s="6"/>
      <c r="D23" s="6" t="s">
        <v>21</v>
      </c>
      <c r="E23" s="6" t="s">
        <v>27</v>
      </c>
      <c r="F23" s="6" t="s">
        <v>28</v>
      </c>
      <c r="G23" s="6" t="s">
        <v>33</v>
      </c>
      <c r="H23" s="7">
        <v>44944.0</v>
      </c>
      <c r="I23" s="8">
        <v>398.0</v>
      </c>
      <c r="J23" s="8">
        <v>326.9</v>
      </c>
      <c r="K23" s="8">
        <v>270.37</v>
      </c>
      <c r="O23" s="14" t="str">
        <f t="shared" si="1"/>
        <v>West</v>
      </c>
      <c r="P23" s="14" t="str">
        <f t="shared" si="2"/>
        <v>Clothing</v>
      </c>
    </row>
    <row r="24">
      <c r="B24" s="6" t="s">
        <v>58</v>
      </c>
      <c r="C24" s="6" t="s">
        <v>20</v>
      </c>
      <c r="D24" s="6" t="s">
        <v>31</v>
      </c>
      <c r="E24" s="6" t="s">
        <v>16</v>
      </c>
      <c r="F24" s="6" t="s">
        <v>17</v>
      </c>
      <c r="G24" s="6" t="s">
        <v>33</v>
      </c>
      <c r="H24" s="7">
        <v>44945.0</v>
      </c>
      <c r="I24" s="8">
        <v>185.0</v>
      </c>
      <c r="J24" s="8">
        <v>242.24</v>
      </c>
      <c r="K24" s="8">
        <v>213.93</v>
      </c>
      <c r="O24" s="14" t="str">
        <f t="shared" si="1"/>
        <v>West</v>
      </c>
      <c r="P24" s="14" t="str">
        <f t="shared" si="2"/>
        <v>Beverages</v>
      </c>
    </row>
    <row r="25">
      <c r="B25" s="6" t="s">
        <v>59</v>
      </c>
      <c r="C25" s="6" t="s">
        <v>14</v>
      </c>
      <c r="D25" s="6" t="s">
        <v>21</v>
      </c>
      <c r="E25" s="6" t="s">
        <v>22</v>
      </c>
      <c r="F25" s="6" t="s">
        <v>28</v>
      </c>
      <c r="G25" s="6" t="s">
        <v>18</v>
      </c>
      <c r="H25" s="7">
        <v>44946.0</v>
      </c>
      <c r="I25" s="8">
        <v>99.0</v>
      </c>
      <c r="J25" s="8">
        <v>309.79</v>
      </c>
      <c r="K25" s="8">
        <v>289.13</v>
      </c>
      <c r="O25" s="14" t="str">
        <f t="shared" si="1"/>
        <v>East</v>
      </c>
      <c r="P25" s="14" t="str">
        <f t="shared" si="2"/>
        <v>Food</v>
      </c>
    </row>
    <row r="26">
      <c r="B26" s="6" t="s">
        <v>60</v>
      </c>
      <c r="C26" s="6" t="s">
        <v>61</v>
      </c>
      <c r="D26" s="6" t="s">
        <v>15</v>
      </c>
      <c r="E26" s="6" t="s">
        <v>55</v>
      </c>
      <c r="F26" s="6" t="s">
        <v>28</v>
      </c>
      <c r="G26" s="6" t="s">
        <v>33</v>
      </c>
      <c r="H26" s="7">
        <v>44947.0</v>
      </c>
      <c r="I26" s="8">
        <v>411.0</v>
      </c>
      <c r="J26" s="8">
        <v>167.86</v>
      </c>
      <c r="K26" s="8">
        <v>58.23</v>
      </c>
      <c r="O26" s="14" t="str">
        <f t="shared" si="1"/>
        <v>South</v>
      </c>
      <c r="P26" s="14" t="str">
        <f t="shared" si="2"/>
        <v>Electronics</v>
      </c>
    </row>
    <row r="27">
      <c r="B27" s="6" t="s">
        <v>62</v>
      </c>
      <c r="C27" s="6" t="s">
        <v>26</v>
      </c>
      <c r="D27" s="6" t="s">
        <v>63</v>
      </c>
      <c r="E27" s="6" t="s">
        <v>22</v>
      </c>
      <c r="F27" s="6" t="s">
        <v>28</v>
      </c>
      <c r="G27" s="6" t="s">
        <v>18</v>
      </c>
      <c r="H27" s="7">
        <v>44948.0</v>
      </c>
      <c r="I27" s="8">
        <v>463.0</v>
      </c>
      <c r="J27" s="8">
        <v>237.74</v>
      </c>
      <c r="K27" s="8">
        <v>86.37</v>
      </c>
      <c r="O27" s="14" t="str">
        <f t="shared" si="1"/>
        <v>North</v>
      </c>
      <c r="P27" s="14" t="str">
        <f t="shared" si="2"/>
        <v>Food</v>
      </c>
    </row>
    <row r="28">
      <c r="B28" s="6" t="s">
        <v>64</v>
      </c>
      <c r="C28" s="6" t="s">
        <v>61</v>
      </c>
      <c r="D28" s="6" t="s">
        <v>63</v>
      </c>
      <c r="E28" s="6" t="s">
        <v>55</v>
      </c>
      <c r="F28" s="6" t="s">
        <v>17</v>
      </c>
      <c r="G28" s="6" t="s">
        <v>23</v>
      </c>
      <c r="H28" s="7">
        <v>44949.0</v>
      </c>
      <c r="I28" s="8">
        <v>46.0</v>
      </c>
      <c r="J28" s="8">
        <v>373.42</v>
      </c>
      <c r="K28" s="8">
        <v>327.86</v>
      </c>
      <c r="O28" s="14" t="str">
        <f t="shared" si="1"/>
        <v>South</v>
      </c>
      <c r="P28" s="14" t="str">
        <f t="shared" si="2"/>
        <v>Electronics</v>
      </c>
    </row>
    <row r="29">
      <c r="B29" s="6" t="s">
        <v>65</v>
      </c>
      <c r="C29" s="6" t="s">
        <v>20</v>
      </c>
      <c r="D29" s="6" t="s">
        <v>39</v>
      </c>
      <c r="E29" s="6" t="s">
        <v>55</v>
      </c>
      <c r="F29" s="6" t="s">
        <v>28</v>
      </c>
      <c r="G29" s="6" t="s">
        <v>33</v>
      </c>
      <c r="H29" s="7">
        <v>44950.0</v>
      </c>
      <c r="I29" s="8">
        <v>325.0</v>
      </c>
      <c r="J29" s="8">
        <v>436.56</v>
      </c>
      <c r="K29" s="8">
        <v>130.37</v>
      </c>
      <c r="O29" s="14" t="str">
        <f t="shared" si="1"/>
        <v>West</v>
      </c>
      <c r="P29" s="14" t="str">
        <f t="shared" si="2"/>
        <v>Electronics</v>
      </c>
    </row>
    <row r="30">
      <c r="B30" s="6" t="s">
        <v>66</v>
      </c>
      <c r="C30" s="6" t="s">
        <v>20</v>
      </c>
      <c r="D30" s="6" t="s">
        <v>21</v>
      </c>
      <c r="E30" s="6"/>
      <c r="F30" s="6" t="s">
        <v>28</v>
      </c>
      <c r="G30" s="6" t="s">
        <v>33</v>
      </c>
      <c r="H30" s="7">
        <v>44951.0</v>
      </c>
      <c r="I30" s="8">
        <v>185.0</v>
      </c>
      <c r="J30" s="8">
        <v>219.66</v>
      </c>
      <c r="K30" s="8">
        <v>11.11</v>
      </c>
      <c r="O30" s="14" t="str">
        <f t="shared" si="1"/>
        <v>West</v>
      </c>
      <c r="P30" s="14" t="str">
        <f t="shared" si="2"/>
        <v>Beverages</v>
      </c>
    </row>
    <row r="31">
      <c r="B31" s="6" t="s">
        <v>67</v>
      </c>
      <c r="C31" s="6" t="s">
        <v>61</v>
      </c>
      <c r="D31" s="6" t="s">
        <v>21</v>
      </c>
      <c r="E31" s="6" t="s">
        <v>16</v>
      </c>
      <c r="F31" s="6" t="s">
        <v>28</v>
      </c>
      <c r="G31" s="6" t="s">
        <v>18</v>
      </c>
      <c r="H31" s="7">
        <v>44952.0</v>
      </c>
      <c r="I31" s="8">
        <v>470.0</v>
      </c>
      <c r="J31" s="8">
        <v>26.61</v>
      </c>
      <c r="K31" s="8">
        <v>63.21</v>
      </c>
      <c r="O31" s="14" t="str">
        <f t="shared" si="1"/>
        <v>South</v>
      </c>
      <c r="P31" s="14" t="str">
        <f t="shared" si="2"/>
        <v>Beverages</v>
      </c>
    </row>
    <row r="32">
      <c r="B32" s="6" t="s">
        <v>68</v>
      </c>
      <c r="C32" s="6" t="s">
        <v>61</v>
      </c>
      <c r="D32" s="6" t="s">
        <v>39</v>
      </c>
      <c r="E32" s="6" t="s">
        <v>32</v>
      </c>
      <c r="F32" s="6" t="s">
        <v>17</v>
      </c>
      <c r="G32" s="6" t="s">
        <v>33</v>
      </c>
      <c r="H32" s="7">
        <v>44953.0</v>
      </c>
      <c r="I32" s="8">
        <v>293.0</v>
      </c>
      <c r="J32" s="8">
        <v>85.03</v>
      </c>
      <c r="K32" s="8">
        <v>91.0</v>
      </c>
      <c r="O32" s="14" t="str">
        <f t="shared" si="1"/>
        <v>South</v>
      </c>
      <c r="P32" s="14" t="str">
        <f t="shared" si="2"/>
        <v>Furniture</v>
      </c>
    </row>
    <row r="33">
      <c r="B33" s="6" t="s">
        <v>69</v>
      </c>
      <c r="C33" s="6" t="s">
        <v>61</v>
      </c>
      <c r="D33" s="6" t="s">
        <v>39</v>
      </c>
      <c r="E33" s="6" t="s">
        <v>22</v>
      </c>
      <c r="F33" s="6" t="s">
        <v>17</v>
      </c>
      <c r="G33" s="6" t="s">
        <v>33</v>
      </c>
      <c r="H33" s="7">
        <v>44954.0</v>
      </c>
      <c r="I33" s="8">
        <v>462.0</v>
      </c>
      <c r="J33" s="6"/>
      <c r="K33" s="8">
        <v>383.01</v>
      </c>
      <c r="O33" s="14" t="str">
        <f t="shared" si="1"/>
        <v>South</v>
      </c>
      <c r="P33" s="14" t="str">
        <f t="shared" si="2"/>
        <v>Food</v>
      </c>
    </row>
    <row r="34">
      <c r="B34" s="6" t="s">
        <v>70</v>
      </c>
      <c r="C34" s="6" t="s">
        <v>20</v>
      </c>
      <c r="D34" s="6" t="s">
        <v>39</v>
      </c>
      <c r="E34" s="6" t="s">
        <v>16</v>
      </c>
      <c r="F34" s="6" t="s">
        <v>28</v>
      </c>
      <c r="G34" s="6" t="s">
        <v>23</v>
      </c>
      <c r="H34" s="7">
        <v>44955.0</v>
      </c>
      <c r="I34" s="8">
        <v>470.0</v>
      </c>
      <c r="J34" s="8">
        <v>328.37</v>
      </c>
      <c r="K34" s="8">
        <v>230.07</v>
      </c>
      <c r="O34" s="14" t="str">
        <f t="shared" si="1"/>
        <v>West</v>
      </c>
      <c r="P34" s="14" t="str">
        <f t="shared" si="2"/>
        <v>Beverages</v>
      </c>
    </row>
    <row r="35">
      <c r="B35" s="6" t="s">
        <v>71</v>
      </c>
      <c r="C35" s="6" t="s">
        <v>20</v>
      </c>
      <c r="D35" s="6" t="s">
        <v>15</v>
      </c>
      <c r="E35" s="6" t="s">
        <v>16</v>
      </c>
      <c r="F35" s="6" t="s">
        <v>17</v>
      </c>
      <c r="G35" s="6" t="s">
        <v>33</v>
      </c>
      <c r="H35" s="7">
        <v>44956.0</v>
      </c>
      <c r="I35" s="8">
        <v>90.0</v>
      </c>
      <c r="J35" s="8">
        <v>169.5</v>
      </c>
      <c r="K35" s="8">
        <v>373.23</v>
      </c>
      <c r="O35" s="14" t="str">
        <f t="shared" si="1"/>
        <v>West</v>
      </c>
      <c r="P35" s="14" t="str">
        <f t="shared" si="2"/>
        <v>Beverages</v>
      </c>
    </row>
    <row r="36">
      <c r="B36" s="6" t="s">
        <v>72</v>
      </c>
      <c r="C36" s="6"/>
      <c r="D36" s="6" t="s">
        <v>21</v>
      </c>
      <c r="E36" s="6" t="s">
        <v>16</v>
      </c>
      <c r="F36" s="6" t="s">
        <v>17</v>
      </c>
      <c r="G36" s="6" t="s">
        <v>23</v>
      </c>
      <c r="H36" s="7">
        <v>44957.0</v>
      </c>
      <c r="I36" s="8">
        <v>123.0</v>
      </c>
      <c r="J36" s="8">
        <v>273.53</v>
      </c>
      <c r="K36" s="8">
        <v>230.92</v>
      </c>
      <c r="O36" s="14" t="str">
        <f t="shared" si="1"/>
        <v>West</v>
      </c>
      <c r="P36" s="14" t="str">
        <f t="shared" si="2"/>
        <v>Beverages</v>
      </c>
    </row>
    <row r="37">
      <c r="B37" s="6" t="s">
        <v>73</v>
      </c>
      <c r="C37" s="6" t="s">
        <v>26</v>
      </c>
      <c r="D37" s="6" t="s">
        <v>15</v>
      </c>
      <c r="E37" s="6" t="s">
        <v>16</v>
      </c>
      <c r="F37" s="6" t="s">
        <v>17</v>
      </c>
      <c r="G37" s="6" t="s">
        <v>18</v>
      </c>
      <c r="H37" s="7">
        <v>44958.0</v>
      </c>
      <c r="I37" s="8">
        <v>49.0</v>
      </c>
      <c r="J37" s="8">
        <v>249.17</v>
      </c>
      <c r="K37" s="8">
        <v>192.78</v>
      </c>
      <c r="O37" s="14" t="str">
        <f t="shared" si="1"/>
        <v>North</v>
      </c>
      <c r="P37" s="14" t="str">
        <f t="shared" si="2"/>
        <v>Beverages</v>
      </c>
    </row>
    <row r="38">
      <c r="B38" s="6" t="s">
        <v>74</v>
      </c>
      <c r="C38" s="6" t="s">
        <v>20</v>
      </c>
      <c r="D38" s="6" t="s">
        <v>39</v>
      </c>
      <c r="E38" s="6" t="s">
        <v>16</v>
      </c>
      <c r="F38" s="6" t="s">
        <v>17</v>
      </c>
      <c r="G38" s="6" t="s">
        <v>33</v>
      </c>
      <c r="H38" s="7">
        <v>44959.0</v>
      </c>
      <c r="I38" s="8">
        <v>310.0</v>
      </c>
      <c r="J38" s="8">
        <v>45.36</v>
      </c>
      <c r="K38" s="8">
        <v>126.86</v>
      </c>
      <c r="O38" s="14" t="str">
        <f t="shared" si="1"/>
        <v>West</v>
      </c>
      <c r="P38" s="14" t="str">
        <f t="shared" si="2"/>
        <v>Beverages</v>
      </c>
    </row>
    <row r="39">
      <c r="B39" s="6" t="s">
        <v>75</v>
      </c>
      <c r="C39" s="6" t="s">
        <v>61</v>
      </c>
      <c r="D39" s="6" t="s">
        <v>21</v>
      </c>
      <c r="E39" s="6" t="s">
        <v>27</v>
      </c>
      <c r="F39" s="6" t="s">
        <v>17</v>
      </c>
      <c r="G39" s="6" t="s">
        <v>23</v>
      </c>
      <c r="H39" s="7">
        <v>44960.0</v>
      </c>
      <c r="I39" s="8">
        <v>233.0</v>
      </c>
      <c r="J39" s="8">
        <v>204.61</v>
      </c>
      <c r="K39" s="8">
        <v>243.34</v>
      </c>
      <c r="O39" s="14" t="str">
        <f t="shared" si="1"/>
        <v>South</v>
      </c>
      <c r="P39" s="14" t="str">
        <f t="shared" si="2"/>
        <v>Clothing</v>
      </c>
    </row>
    <row r="40">
      <c r="B40" s="6" t="s">
        <v>76</v>
      </c>
      <c r="C40" s="6" t="s">
        <v>61</v>
      </c>
      <c r="D40" s="6" t="s">
        <v>15</v>
      </c>
      <c r="E40" s="6" t="s">
        <v>22</v>
      </c>
      <c r="F40" s="6" t="s">
        <v>17</v>
      </c>
      <c r="G40" s="6" t="s">
        <v>18</v>
      </c>
      <c r="H40" s="7">
        <v>44961.0</v>
      </c>
      <c r="I40" s="8">
        <v>327.0</v>
      </c>
      <c r="J40" s="8">
        <v>114.18</v>
      </c>
      <c r="K40" s="8">
        <v>57.4</v>
      </c>
      <c r="O40" s="14" t="str">
        <f t="shared" si="1"/>
        <v>South</v>
      </c>
      <c r="P40" s="14" t="str">
        <f t="shared" si="2"/>
        <v>Food</v>
      </c>
    </row>
    <row r="41">
      <c r="B41" s="6" t="s">
        <v>77</v>
      </c>
      <c r="C41" s="6" t="s">
        <v>26</v>
      </c>
      <c r="D41" s="6" t="s">
        <v>15</v>
      </c>
      <c r="E41" s="6" t="s">
        <v>16</v>
      </c>
      <c r="F41" s="6" t="s">
        <v>17</v>
      </c>
      <c r="G41" s="6" t="s">
        <v>33</v>
      </c>
      <c r="H41" s="7">
        <v>44962.0</v>
      </c>
      <c r="I41" s="8">
        <v>358.0</v>
      </c>
      <c r="J41" s="8">
        <v>212.11</v>
      </c>
      <c r="K41" s="8">
        <v>359.51</v>
      </c>
      <c r="O41" s="14" t="str">
        <f t="shared" si="1"/>
        <v>North</v>
      </c>
      <c r="P41" s="14" t="str">
        <f t="shared" si="2"/>
        <v>Beverages</v>
      </c>
    </row>
    <row r="42">
      <c r="B42" s="6" t="s">
        <v>78</v>
      </c>
      <c r="C42" s="6" t="s">
        <v>20</v>
      </c>
      <c r="D42" s="6" t="s">
        <v>39</v>
      </c>
      <c r="E42" s="6" t="s">
        <v>22</v>
      </c>
      <c r="F42" s="6" t="s">
        <v>17</v>
      </c>
      <c r="G42" s="6" t="s">
        <v>18</v>
      </c>
      <c r="H42" s="7">
        <v>44963.0</v>
      </c>
      <c r="I42" s="8">
        <v>124.0</v>
      </c>
      <c r="J42" s="6"/>
      <c r="K42" s="8">
        <v>332.07</v>
      </c>
      <c r="O42" s="14" t="str">
        <f t="shared" si="1"/>
        <v>West</v>
      </c>
      <c r="P42" s="14" t="str">
        <f t="shared" si="2"/>
        <v>Food</v>
      </c>
    </row>
    <row r="43">
      <c r="B43" s="6" t="s">
        <v>79</v>
      </c>
      <c r="C43" s="6" t="s">
        <v>26</v>
      </c>
      <c r="D43" s="6" t="s">
        <v>21</v>
      </c>
      <c r="E43" s="6" t="s">
        <v>27</v>
      </c>
      <c r="F43" s="6" t="s">
        <v>17</v>
      </c>
      <c r="G43" s="6" t="s">
        <v>33</v>
      </c>
      <c r="H43" s="7">
        <v>44964.0</v>
      </c>
      <c r="I43" s="8">
        <v>195.0</v>
      </c>
      <c r="J43" s="8">
        <v>421.02</v>
      </c>
      <c r="K43" s="8">
        <v>128.38</v>
      </c>
      <c r="O43" s="14" t="str">
        <f t="shared" si="1"/>
        <v>North</v>
      </c>
      <c r="P43" s="14" t="str">
        <f t="shared" si="2"/>
        <v>Clothing</v>
      </c>
    </row>
    <row r="44">
      <c r="B44" s="6" t="s">
        <v>80</v>
      </c>
      <c r="C44" s="6" t="s">
        <v>26</v>
      </c>
      <c r="D44" s="6" t="s">
        <v>39</v>
      </c>
      <c r="E44" s="6" t="s">
        <v>27</v>
      </c>
      <c r="F44" s="6" t="s">
        <v>17</v>
      </c>
      <c r="G44" s="6" t="s">
        <v>18</v>
      </c>
      <c r="H44" s="7">
        <v>44965.0</v>
      </c>
      <c r="I44" s="6"/>
      <c r="J44" s="8">
        <v>91.23</v>
      </c>
      <c r="K44" s="8">
        <v>381.21</v>
      </c>
      <c r="O44" s="14" t="str">
        <f t="shared" si="1"/>
        <v>North</v>
      </c>
      <c r="P44" s="14" t="str">
        <f t="shared" si="2"/>
        <v>Clothing</v>
      </c>
    </row>
    <row r="45">
      <c r="B45" s="6" t="s">
        <v>81</v>
      </c>
      <c r="C45" s="6" t="s">
        <v>14</v>
      </c>
      <c r="D45" s="6" t="s">
        <v>21</v>
      </c>
      <c r="E45" s="6" t="s">
        <v>22</v>
      </c>
      <c r="F45" s="6" t="s">
        <v>28</v>
      </c>
      <c r="G45" s="6" t="s">
        <v>18</v>
      </c>
      <c r="H45" s="7">
        <v>44966.0</v>
      </c>
      <c r="I45" s="8">
        <v>65.0</v>
      </c>
      <c r="J45" s="8">
        <v>480.59</v>
      </c>
      <c r="K45" s="8">
        <v>330.43</v>
      </c>
      <c r="O45" s="14" t="str">
        <f t="shared" si="1"/>
        <v>East</v>
      </c>
      <c r="P45" s="14" t="str">
        <f t="shared" si="2"/>
        <v>Food</v>
      </c>
    </row>
    <row r="46">
      <c r="B46" s="6" t="s">
        <v>82</v>
      </c>
      <c r="C46" s="6" t="s">
        <v>14</v>
      </c>
      <c r="D46" s="6" t="s">
        <v>63</v>
      </c>
      <c r="E46" s="6" t="s">
        <v>55</v>
      </c>
      <c r="F46" s="6" t="s">
        <v>28</v>
      </c>
      <c r="G46" s="6" t="s">
        <v>23</v>
      </c>
      <c r="H46" s="7">
        <v>44967.0</v>
      </c>
      <c r="I46" s="8">
        <v>49.0</v>
      </c>
      <c r="J46" s="8">
        <v>210.87</v>
      </c>
      <c r="K46" s="8">
        <v>267.19</v>
      </c>
      <c r="O46" s="14" t="str">
        <f t="shared" si="1"/>
        <v>East</v>
      </c>
      <c r="P46" s="14" t="str">
        <f t="shared" si="2"/>
        <v>Electronics</v>
      </c>
    </row>
    <row r="47">
      <c r="B47" s="6" t="s">
        <v>83</v>
      </c>
      <c r="C47" s="6" t="s">
        <v>14</v>
      </c>
      <c r="D47" s="6" t="s">
        <v>31</v>
      </c>
      <c r="E47" s="6" t="s">
        <v>32</v>
      </c>
      <c r="F47" s="6" t="s">
        <v>17</v>
      </c>
      <c r="G47" s="6" t="s">
        <v>18</v>
      </c>
      <c r="H47" s="7">
        <v>44968.0</v>
      </c>
      <c r="I47" s="8">
        <v>363.0</v>
      </c>
      <c r="J47" s="8">
        <v>423.89</v>
      </c>
      <c r="K47" s="8">
        <v>50.46</v>
      </c>
      <c r="O47" s="14" t="str">
        <f t="shared" si="1"/>
        <v>East</v>
      </c>
      <c r="P47" s="14" t="str">
        <f t="shared" si="2"/>
        <v>Furniture</v>
      </c>
    </row>
    <row r="48">
      <c r="B48" s="6" t="s">
        <v>84</v>
      </c>
      <c r="C48" s="6" t="s">
        <v>61</v>
      </c>
      <c r="D48" s="6" t="s">
        <v>31</v>
      </c>
      <c r="E48" s="6" t="s">
        <v>55</v>
      </c>
      <c r="F48" s="6" t="s">
        <v>28</v>
      </c>
      <c r="G48" s="6" t="s">
        <v>33</v>
      </c>
      <c r="H48" s="7">
        <v>44969.0</v>
      </c>
      <c r="I48" s="8">
        <v>49.0</v>
      </c>
      <c r="J48" s="8">
        <v>316.24</v>
      </c>
      <c r="K48" s="8">
        <v>192.34</v>
      </c>
      <c r="O48" s="14" t="str">
        <f t="shared" si="1"/>
        <v>South</v>
      </c>
      <c r="P48" s="14" t="str">
        <f t="shared" si="2"/>
        <v>Electronics</v>
      </c>
    </row>
    <row r="49">
      <c r="B49" s="6" t="s">
        <v>85</v>
      </c>
      <c r="C49" s="6" t="s">
        <v>20</v>
      </c>
      <c r="D49" s="6" t="s">
        <v>31</v>
      </c>
      <c r="E49" s="6" t="s">
        <v>55</v>
      </c>
      <c r="F49" s="6" t="s">
        <v>28</v>
      </c>
      <c r="G49" s="6" t="s">
        <v>33</v>
      </c>
      <c r="H49" s="7">
        <v>44970.0</v>
      </c>
      <c r="I49" s="8">
        <v>356.0</v>
      </c>
      <c r="J49" s="8">
        <v>369.0</v>
      </c>
      <c r="K49" s="8">
        <v>203.43</v>
      </c>
      <c r="O49" s="14" t="str">
        <f t="shared" si="1"/>
        <v>West</v>
      </c>
      <c r="P49" s="14" t="str">
        <f t="shared" si="2"/>
        <v>Electronics</v>
      </c>
    </row>
    <row r="50">
      <c r="B50" s="6" t="s">
        <v>86</v>
      </c>
      <c r="C50" s="6" t="s">
        <v>20</v>
      </c>
      <c r="D50" s="6" t="s">
        <v>39</v>
      </c>
      <c r="E50" s="6" t="s">
        <v>55</v>
      </c>
      <c r="F50" s="6" t="s">
        <v>17</v>
      </c>
      <c r="G50" s="6" t="s">
        <v>23</v>
      </c>
      <c r="H50" s="7">
        <v>44971.0</v>
      </c>
      <c r="I50" s="8">
        <v>470.0</v>
      </c>
      <c r="J50" s="6"/>
      <c r="K50" s="8">
        <v>94.56</v>
      </c>
      <c r="O50" s="14" t="str">
        <f t="shared" si="1"/>
        <v>West</v>
      </c>
      <c r="P50" s="14" t="str">
        <f t="shared" si="2"/>
        <v>Electronics</v>
      </c>
    </row>
    <row r="51">
      <c r="B51" s="6" t="s">
        <v>87</v>
      </c>
      <c r="C51" s="6" t="s">
        <v>20</v>
      </c>
      <c r="D51" s="6" t="s">
        <v>63</v>
      </c>
      <c r="E51" s="6" t="s">
        <v>16</v>
      </c>
      <c r="F51" s="6" t="s">
        <v>17</v>
      </c>
      <c r="G51" s="6" t="s">
        <v>33</v>
      </c>
      <c r="H51" s="7">
        <v>44972.0</v>
      </c>
      <c r="I51" s="8">
        <v>246.0</v>
      </c>
      <c r="J51" s="8">
        <v>254.9</v>
      </c>
      <c r="K51" s="8">
        <v>33.83</v>
      </c>
      <c r="O51" s="14" t="str">
        <f t="shared" si="1"/>
        <v>West</v>
      </c>
      <c r="P51" s="14" t="str">
        <f t="shared" si="2"/>
        <v>Beverages</v>
      </c>
    </row>
    <row r="52">
      <c r="B52" s="6" t="s">
        <v>88</v>
      </c>
      <c r="C52" s="6" t="s">
        <v>20</v>
      </c>
      <c r="D52" s="6" t="s">
        <v>21</v>
      </c>
      <c r="E52" s="6" t="s">
        <v>27</v>
      </c>
      <c r="F52" s="6" t="s">
        <v>17</v>
      </c>
      <c r="G52" s="6" t="s">
        <v>33</v>
      </c>
      <c r="H52" s="7">
        <v>44973.0</v>
      </c>
      <c r="I52" s="8">
        <v>298.0</v>
      </c>
      <c r="J52" s="8">
        <v>273.93</v>
      </c>
      <c r="K52" s="8">
        <v>311.14</v>
      </c>
      <c r="O52" s="14" t="str">
        <f t="shared" si="1"/>
        <v>West</v>
      </c>
      <c r="P52" s="14" t="str">
        <f t="shared" si="2"/>
        <v>Clothing</v>
      </c>
    </row>
    <row r="53">
      <c r="B53" s="6" t="s">
        <v>89</v>
      </c>
      <c r="C53" s="6" t="s">
        <v>14</v>
      </c>
      <c r="D53" s="6" t="s">
        <v>15</v>
      </c>
      <c r="E53" s="6" t="s">
        <v>55</v>
      </c>
      <c r="F53" s="6" t="s">
        <v>28</v>
      </c>
      <c r="G53" s="6" t="s">
        <v>33</v>
      </c>
      <c r="H53" s="7">
        <v>44974.0</v>
      </c>
      <c r="I53" s="8">
        <v>271.0</v>
      </c>
      <c r="J53" s="8">
        <v>259.43</v>
      </c>
      <c r="K53" s="8">
        <v>50.57</v>
      </c>
      <c r="O53" s="14" t="str">
        <f t="shared" si="1"/>
        <v>East</v>
      </c>
      <c r="P53" s="14" t="str">
        <f t="shared" si="2"/>
        <v>Electronics</v>
      </c>
    </row>
    <row r="54">
      <c r="B54" s="6" t="s">
        <v>90</v>
      </c>
      <c r="C54" s="6" t="s">
        <v>61</v>
      </c>
      <c r="D54" s="6" t="s">
        <v>21</v>
      </c>
      <c r="E54" s="6" t="s">
        <v>27</v>
      </c>
      <c r="F54" s="6" t="s">
        <v>28</v>
      </c>
      <c r="G54" s="6" t="s">
        <v>18</v>
      </c>
      <c r="H54" s="7">
        <v>44975.0</v>
      </c>
      <c r="I54" s="8">
        <v>225.0</v>
      </c>
      <c r="J54" s="8">
        <v>296.09</v>
      </c>
      <c r="K54" s="8">
        <v>238.53</v>
      </c>
      <c r="O54" s="14" t="str">
        <f t="shared" si="1"/>
        <v>South</v>
      </c>
      <c r="P54" s="14" t="str">
        <f t="shared" si="2"/>
        <v>Clothing</v>
      </c>
    </row>
    <row r="55">
      <c r="B55" s="6" t="s">
        <v>91</v>
      </c>
      <c r="C55" s="6"/>
      <c r="D55" s="6" t="s">
        <v>15</v>
      </c>
      <c r="E55" s="6" t="s">
        <v>22</v>
      </c>
      <c r="F55" s="6" t="s">
        <v>17</v>
      </c>
      <c r="G55" s="6" t="s">
        <v>18</v>
      </c>
      <c r="H55" s="7">
        <v>44976.0</v>
      </c>
      <c r="I55" s="8">
        <v>156.0</v>
      </c>
      <c r="J55" s="8">
        <v>19.55</v>
      </c>
      <c r="K55" s="8">
        <v>374.71</v>
      </c>
      <c r="O55" s="14" t="str">
        <f t="shared" si="1"/>
        <v>West</v>
      </c>
      <c r="P55" s="14" t="str">
        <f t="shared" si="2"/>
        <v>Food</v>
      </c>
    </row>
    <row r="56">
      <c r="B56" s="6" t="s">
        <v>92</v>
      </c>
      <c r="C56" s="6" t="s">
        <v>14</v>
      </c>
      <c r="D56" s="6" t="s">
        <v>21</v>
      </c>
      <c r="E56" s="6" t="s">
        <v>32</v>
      </c>
      <c r="F56" s="6" t="s">
        <v>17</v>
      </c>
      <c r="G56" s="6" t="s">
        <v>33</v>
      </c>
      <c r="H56" s="7">
        <v>44977.0</v>
      </c>
      <c r="I56" s="8">
        <v>345.0</v>
      </c>
      <c r="J56" s="8">
        <v>200.78</v>
      </c>
      <c r="K56" s="8">
        <v>350.69</v>
      </c>
      <c r="O56" s="14" t="str">
        <f t="shared" si="1"/>
        <v>East</v>
      </c>
      <c r="P56" s="14" t="str">
        <f t="shared" si="2"/>
        <v>Furniture</v>
      </c>
    </row>
    <row r="57">
      <c r="B57" s="6" t="s">
        <v>93</v>
      </c>
      <c r="C57" s="6" t="s">
        <v>61</v>
      </c>
      <c r="D57" s="6" t="s">
        <v>63</v>
      </c>
      <c r="E57" s="6" t="s">
        <v>22</v>
      </c>
      <c r="F57" s="6" t="s">
        <v>17</v>
      </c>
      <c r="G57" s="6" t="s">
        <v>23</v>
      </c>
      <c r="H57" s="7">
        <v>44978.0</v>
      </c>
      <c r="I57" s="8">
        <v>177.0</v>
      </c>
      <c r="J57" s="8">
        <v>305.06</v>
      </c>
      <c r="K57" s="8">
        <v>112.55</v>
      </c>
      <c r="O57" s="14" t="str">
        <f t="shared" si="1"/>
        <v>South</v>
      </c>
      <c r="P57" s="14" t="str">
        <f t="shared" si="2"/>
        <v>Food</v>
      </c>
    </row>
    <row r="58">
      <c r="B58" s="6" t="s">
        <v>94</v>
      </c>
      <c r="C58" s="6" t="s">
        <v>14</v>
      </c>
      <c r="D58" s="6" t="s">
        <v>15</v>
      </c>
      <c r="E58" s="6" t="s">
        <v>22</v>
      </c>
      <c r="F58" s="6" t="s">
        <v>28</v>
      </c>
      <c r="G58" s="6" t="s">
        <v>18</v>
      </c>
      <c r="H58" s="7">
        <v>44979.0</v>
      </c>
      <c r="I58" s="8">
        <v>101.0</v>
      </c>
      <c r="J58" s="8">
        <v>300.87</v>
      </c>
      <c r="K58" s="8">
        <v>340.88</v>
      </c>
      <c r="O58" s="14" t="str">
        <f t="shared" si="1"/>
        <v>East</v>
      </c>
      <c r="P58" s="14" t="str">
        <f t="shared" si="2"/>
        <v>Food</v>
      </c>
    </row>
    <row r="59">
      <c r="B59" s="6" t="s">
        <v>95</v>
      </c>
      <c r="C59" s="6" t="s">
        <v>20</v>
      </c>
      <c r="D59" s="6" t="s">
        <v>39</v>
      </c>
      <c r="E59" s="6" t="s">
        <v>16</v>
      </c>
      <c r="F59" s="6" t="s">
        <v>28</v>
      </c>
      <c r="G59" s="6" t="s">
        <v>23</v>
      </c>
      <c r="H59" s="7">
        <v>44980.0</v>
      </c>
      <c r="I59" s="8">
        <v>362.0</v>
      </c>
      <c r="J59" s="8">
        <v>397.51</v>
      </c>
      <c r="K59" s="8">
        <v>2.13</v>
      </c>
      <c r="O59" s="14" t="str">
        <f t="shared" si="1"/>
        <v>West</v>
      </c>
      <c r="P59" s="14" t="str">
        <f t="shared" si="2"/>
        <v>Beverages</v>
      </c>
    </row>
    <row r="60">
      <c r="B60" s="6" t="s">
        <v>96</v>
      </c>
      <c r="C60" s="6" t="s">
        <v>14</v>
      </c>
      <c r="D60" s="6" t="s">
        <v>21</v>
      </c>
      <c r="E60" s="6" t="s">
        <v>32</v>
      </c>
      <c r="F60" s="6" t="s">
        <v>28</v>
      </c>
      <c r="G60" s="6" t="s">
        <v>33</v>
      </c>
      <c r="H60" s="7">
        <v>44981.0</v>
      </c>
      <c r="I60" s="8">
        <v>68.0</v>
      </c>
      <c r="J60" s="8">
        <v>329.23</v>
      </c>
      <c r="K60" s="8">
        <v>9.04</v>
      </c>
      <c r="O60" s="14" t="str">
        <f t="shared" si="1"/>
        <v>East</v>
      </c>
      <c r="P60" s="14" t="str">
        <f t="shared" si="2"/>
        <v>Furniture</v>
      </c>
    </row>
    <row r="61">
      <c r="B61" s="6" t="s">
        <v>97</v>
      </c>
      <c r="C61" s="6" t="s">
        <v>20</v>
      </c>
      <c r="D61" s="6" t="s">
        <v>21</v>
      </c>
      <c r="E61" s="6" t="s">
        <v>22</v>
      </c>
      <c r="F61" s="6" t="s">
        <v>28</v>
      </c>
      <c r="G61" s="6" t="s">
        <v>33</v>
      </c>
      <c r="H61" s="7">
        <v>44982.0</v>
      </c>
      <c r="I61" s="8">
        <v>68.0</v>
      </c>
      <c r="J61" s="8">
        <v>496.11</v>
      </c>
      <c r="K61" s="8">
        <v>241.82</v>
      </c>
      <c r="O61" s="14" t="str">
        <f t="shared" si="1"/>
        <v>West</v>
      </c>
      <c r="P61" s="14" t="str">
        <f t="shared" si="2"/>
        <v>Food</v>
      </c>
    </row>
    <row r="62">
      <c r="B62" s="6" t="s">
        <v>98</v>
      </c>
      <c r="C62" s="6" t="s">
        <v>20</v>
      </c>
      <c r="D62" s="6" t="s">
        <v>15</v>
      </c>
      <c r="E62" s="6" t="s">
        <v>22</v>
      </c>
      <c r="F62" s="6" t="s">
        <v>17</v>
      </c>
      <c r="G62" s="6" t="s">
        <v>18</v>
      </c>
      <c r="H62" s="7">
        <v>44983.0</v>
      </c>
      <c r="I62" s="8">
        <v>313.0</v>
      </c>
      <c r="J62" s="8">
        <v>145.51</v>
      </c>
      <c r="K62" s="8">
        <v>147.19</v>
      </c>
      <c r="O62" s="14" t="str">
        <f t="shared" si="1"/>
        <v>West</v>
      </c>
      <c r="P62" s="14" t="str">
        <f t="shared" si="2"/>
        <v>Food</v>
      </c>
    </row>
    <row r="63">
      <c r="B63" s="6" t="s">
        <v>99</v>
      </c>
      <c r="C63" s="6" t="s">
        <v>26</v>
      </c>
      <c r="D63" s="6" t="s">
        <v>39</v>
      </c>
      <c r="E63" s="6" t="s">
        <v>32</v>
      </c>
      <c r="F63" s="6" t="s">
        <v>17</v>
      </c>
      <c r="G63" s="6" t="s">
        <v>33</v>
      </c>
      <c r="H63" s="7">
        <v>44984.0</v>
      </c>
      <c r="I63" s="8">
        <v>178.0</v>
      </c>
      <c r="J63" s="8">
        <v>182.78</v>
      </c>
      <c r="K63" s="8">
        <v>155.81</v>
      </c>
      <c r="O63" s="14" t="str">
        <f t="shared" si="1"/>
        <v>North</v>
      </c>
      <c r="P63" s="14" t="str">
        <f t="shared" si="2"/>
        <v>Furniture</v>
      </c>
    </row>
    <row r="64">
      <c r="B64" s="6" t="s">
        <v>100</v>
      </c>
      <c r="C64" s="6" t="s">
        <v>14</v>
      </c>
      <c r="D64" s="6" t="s">
        <v>39</v>
      </c>
      <c r="E64" s="6" t="s">
        <v>32</v>
      </c>
      <c r="F64" s="6" t="s">
        <v>17</v>
      </c>
      <c r="G64" s="6" t="s">
        <v>18</v>
      </c>
      <c r="H64" s="7">
        <v>44985.0</v>
      </c>
      <c r="I64" s="8">
        <v>278.0</v>
      </c>
      <c r="J64" s="8">
        <v>195.0</v>
      </c>
      <c r="K64" s="8">
        <v>226.65</v>
      </c>
      <c r="O64" s="14" t="str">
        <f t="shared" si="1"/>
        <v>East</v>
      </c>
      <c r="P64" s="14" t="str">
        <f t="shared" si="2"/>
        <v>Furniture</v>
      </c>
    </row>
    <row r="65">
      <c r="B65" s="6" t="s">
        <v>101</v>
      </c>
      <c r="C65" s="6" t="s">
        <v>26</v>
      </c>
      <c r="D65" s="6" t="s">
        <v>63</v>
      </c>
      <c r="E65" s="6" t="s">
        <v>22</v>
      </c>
      <c r="F65" s="6" t="s">
        <v>17</v>
      </c>
      <c r="G65" s="6" t="s">
        <v>33</v>
      </c>
      <c r="H65" s="7">
        <v>44986.0</v>
      </c>
      <c r="I65" s="8">
        <v>372.0</v>
      </c>
      <c r="J65" s="8">
        <v>235.58</v>
      </c>
      <c r="K65" s="8">
        <v>78.33</v>
      </c>
      <c r="O65" s="14" t="str">
        <f t="shared" si="1"/>
        <v>North</v>
      </c>
      <c r="P65" s="14" t="str">
        <f t="shared" si="2"/>
        <v>Food</v>
      </c>
    </row>
    <row r="66">
      <c r="B66" s="6" t="s">
        <v>102</v>
      </c>
      <c r="C66" s="6" t="s">
        <v>14</v>
      </c>
      <c r="D66" s="6" t="s">
        <v>39</v>
      </c>
      <c r="E66" s="6" t="s">
        <v>32</v>
      </c>
      <c r="F66" s="6" t="s">
        <v>28</v>
      </c>
      <c r="G66" s="6" t="s">
        <v>33</v>
      </c>
      <c r="H66" s="7">
        <v>44987.0</v>
      </c>
      <c r="I66" s="8">
        <v>54.0</v>
      </c>
      <c r="J66" s="8">
        <v>418.82</v>
      </c>
      <c r="K66" s="8">
        <v>86.28</v>
      </c>
      <c r="O66" s="14" t="str">
        <f t="shared" si="1"/>
        <v>East</v>
      </c>
      <c r="P66" s="14" t="str">
        <f t="shared" si="2"/>
        <v>Furniture</v>
      </c>
    </row>
    <row r="67">
      <c r="B67" s="6" t="s">
        <v>103</v>
      </c>
      <c r="C67" s="6" t="s">
        <v>14</v>
      </c>
      <c r="D67" s="6" t="s">
        <v>39</v>
      </c>
      <c r="E67" s="6" t="s">
        <v>22</v>
      </c>
      <c r="F67" s="6" t="s">
        <v>28</v>
      </c>
      <c r="G67" s="6" t="s">
        <v>18</v>
      </c>
      <c r="H67" s="7">
        <v>44988.0</v>
      </c>
      <c r="I67" s="8">
        <v>354.0</v>
      </c>
      <c r="J67" s="8">
        <v>121.72</v>
      </c>
      <c r="K67" s="8">
        <v>194.87</v>
      </c>
      <c r="O67" s="14" t="str">
        <f t="shared" si="1"/>
        <v>East</v>
      </c>
      <c r="P67" s="14" t="str">
        <f t="shared" si="2"/>
        <v>Food</v>
      </c>
    </row>
    <row r="68">
      <c r="B68" s="6" t="s">
        <v>104</v>
      </c>
      <c r="C68" s="6" t="s">
        <v>26</v>
      </c>
      <c r="D68" s="6" t="s">
        <v>39</v>
      </c>
      <c r="E68" s="6" t="s">
        <v>22</v>
      </c>
      <c r="F68" s="6" t="s">
        <v>17</v>
      </c>
      <c r="G68" s="6" t="s">
        <v>18</v>
      </c>
      <c r="H68" s="7">
        <v>44989.0</v>
      </c>
      <c r="I68" s="8">
        <v>190.0</v>
      </c>
      <c r="J68" s="8">
        <v>389.12</v>
      </c>
      <c r="K68" s="8">
        <v>302.19</v>
      </c>
      <c r="O68" s="14" t="str">
        <f t="shared" si="1"/>
        <v>North</v>
      </c>
      <c r="P68" s="14" t="str">
        <f t="shared" si="2"/>
        <v>Food</v>
      </c>
    </row>
    <row r="69">
      <c r="B69" s="6" t="s">
        <v>105</v>
      </c>
      <c r="C69" s="6"/>
      <c r="D69" s="6" t="s">
        <v>31</v>
      </c>
      <c r="E69" s="6" t="s">
        <v>16</v>
      </c>
      <c r="F69" s="6" t="s">
        <v>17</v>
      </c>
      <c r="G69" s="6" t="s">
        <v>18</v>
      </c>
      <c r="H69" s="7">
        <v>44990.0</v>
      </c>
      <c r="I69" s="8">
        <v>179.0</v>
      </c>
      <c r="J69" s="8">
        <v>205.63</v>
      </c>
      <c r="K69" s="8">
        <v>248.56</v>
      </c>
      <c r="O69" s="14" t="str">
        <f t="shared" si="1"/>
        <v>West</v>
      </c>
      <c r="P69" s="14" t="str">
        <f t="shared" si="2"/>
        <v>Beverages</v>
      </c>
    </row>
    <row r="70">
      <c r="B70" s="6" t="s">
        <v>106</v>
      </c>
      <c r="C70" s="6" t="s">
        <v>14</v>
      </c>
      <c r="D70" s="6" t="s">
        <v>63</v>
      </c>
      <c r="E70" s="6" t="s">
        <v>55</v>
      </c>
      <c r="F70" s="6" t="s">
        <v>28</v>
      </c>
      <c r="G70" s="6" t="s">
        <v>33</v>
      </c>
      <c r="H70" s="7">
        <v>44991.0</v>
      </c>
      <c r="I70" s="8">
        <v>365.0</v>
      </c>
      <c r="J70" s="8">
        <v>302.92</v>
      </c>
      <c r="K70" s="8">
        <v>120.35</v>
      </c>
      <c r="O70" s="14" t="str">
        <f t="shared" si="1"/>
        <v>East</v>
      </c>
      <c r="P70" s="14" t="str">
        <f t="shared" si="2"/>
        <v>Electronics</v>
      </c>
    </row>
    <row r="71">
      <c r="B71" s="6" t="s">
        <v>107</v>
      </c>
      <c r="C71" s="6" t="s">
        <v>61</v>
      </c>
      <c r="D71" s="6" t="s">
        <v>21</v>
      </c>
      <c r="E71" s="6" t="s">
        <v>22</v>
      </c>
      <c r="F71" s="6" t="s">
        <v>17</v>
      </c>
      <c r="G71" s="6" t="s">
        <v>33</v>
      </c>
      <c r="H71" s="7">
        <v>44992.0</v>
      </c>
      <c r="I71" s="8">
        <v>200.0</v>
      </c>
      <c r="J71" s="8">
        <v>318.11</v>
      </c>
      <c r="K71" s="8">
        <v>173.27</v>
      </c>
      <c r="O71" s="14" t="str">
        <f t="shared" si="1"/>
        <v>South</v>
      </c>
      <c r="P71" s="14" t="str">
        <f t="shared" si="2"/>
        <v>Food</v>
      </c>
    </row>
    <row r="72">
      <c r="B72" s="6" t="s">
        <v>108</v>
      </c>
      <c r="C72" s="6" t="s">
        <v>20</v>
      </c>
      <c r="D72" s="6" t="s">
        <v>15</v>
      </c>
      <c r="E72" s="6" t="s">
        <v>27</v>
      </c>
      <c r="F72" s="6" t="s">
        <v>28</v>
      </c>
      <c r="G72" s="6" t="s">
        <v>23</v>
      </c>
      <c r="H72" s="7">
        <v>44993.0</v>
      </c>
      <c r="I72" s="8">
        <v>164.0</v>
      </c>
      <c r="J72" s="8">
        <v>189.56</v>
      </c>
      <c r="K72" s="8">
        <v>69.92</v>
      </c>
      <c r="O72" s="14" t="str">
        <f t="shared" si="1"/>
        <v>West</v>
      </c>
      <c r="P72" s="14" t="str">
        <f t="shared" si="2"/>
        <v>Clothing</v>
      </c>
    </row>
    <row r="73">
      <c r="B73" s="6" t="s">
        <v>109</v>
      </c>
      <c r="C73" s="6" t="s">
        <v>26</v>
      </c>
      <c r="D73" s="6" t="s">
        <v>21</v>
      </c>
      <c r="E73" s="6" t="s">
        <v>55</v>
      </c>
      <c r="F73" s="6" t="s">
        <v>17</v>
      </c>
      <c r="G73" s="6" t="s">
        <v>18</v>
      </c>
      <c r="H73" s="7">
        <v>44994.0</v>
      </c>
      <c r="I73" s="8">
        <v>431.0</v>
      </c>
      <c r="J73" s="8">
        <v>258.74</v>
      </c>
      <c r="K73" s="8">
        <v>31.7</v>
      </c>
      <c r="O73" s="14" t="str">
        <f t="shared" si="1"/>
        <v>North</v>
      </c>
      <c r="P73" s="14" t="str">
        <f t="shared" si="2"/>
        <v>Electronics</v>
      </c>
    </row>
    <row r="74">
      <c r="B74" s="6" t="s">
        <v>110</v>
      </c>
      <c r="C74" s="6" t="s">
        <v>20</v>
      </c>
      <c r="D74" s="6" t="s">
        <v>63</v>
      </c>
      <c r="E74" s="6" t="s">
        <v>55</v>
      </c>
      <c r="F74" s="6" t="s">
        <v>17</v>
      </c>
      <c r="G74" s="6" t="s">
        <v>33</v>
      </c>
      <c r="H74" s="7">
        <v>44995.0</v>
      </c>
      <c r="I74" s="8">
        <v>197.0</v>
      </c>
      <c r="J74" s="8">
        <v>209.45</v>
      </c>
      <c r="K74" s="8">
        <v>313.51</v>
      </c>
      <c r="O74" s="14" t="str">
        <f t="shared" si="1"/>
        <v>West</v>
      </c>
      <c r="P74" s="14" t="str">
        <f t="shared" si="2"/>
        <v>Electronics</v>
      </c>
    </row>
    <row r="75">
      <c r="B75" s="6" t="s">
        <v>111</v>
      </c>
      <c r="C75" s="6" t="s">
        <v>61</v>
      </c>
      <c r="D75" s="6" t="s">
        <v>15</v>
      </c>
      <c r="E75" s="6" t="s">
        <v>55</v>
      </c>
      <c r="F75" s="6" t="s">
        <v>17</v>
      </c>
      <c r="G75" s="6" t="s">
        <v>33</v>
      </c>
      <c r="H75" s="7">
        <v>44996.0</v>
      </c>
      <c r="I75" s="8">
        <v>16.0</v>
      </c>
      <c r="J75" s="8">
        <v>39.22</v>
      </c>
      <c r="K75" s="8">
        <v>107.62</v>
      </c>
      <c r="O75" s="14" t="str">
        <f t="shared" si="1"/>
        <v>South</v>
      </c>
      <c r="P75" s="14" t="str">
        <f t="shared" si="2"/>
        <v>Electronics</v>
      </c>
    </row>
    <row r="76">
      <c r="B76" s="6" t="s">
        <v>112</v>
      </c>
      <c r="C76" s="6" t="s">
        <v>61</v>
      </c>
      <c r="D76" s="6" t="s">
        <v>63</v>
      </c>
      <c r="E76" s="6" t="s">
        <v>16</v>
      </c>
      <c r="F76" s="6" t="s">
        <v>17</v>
      </c>
      <c r="G76" s="6" t="s">
        <v>18</v>
      </c>
      <c r="H76" s="7">
        <v>44997.0</v>
      </c>
      <c r="I76" s="8">
        <v>142.0</v>
      </c>
      <c r="J76" s="8">
        <v>221.4</v>
      </c>
      <c r="K76" s="8">
        <v>72.75</v>
      </c>
      <c r="O76" s="14" t="str">
        <f t="shared" si="1"/>
        <v>South</v>
      </c>
      <c r="P76" s="14" t="str">
        <f t="shared" si="2"/>
        <v>Beverages</v>
      </c>
    </row>
    <row r="77">
      <c r="B77" s="6" t="s">
        <v>113</v>
      </c>
      <c r="C77" s="6" t="s">
        <v>61</v>
      </c>
      <c r="D77" s="6" t="s">
        <v>39</v>
      </c>
      <c r="E77" s="6" t="s">
        <v>22</v>
      </c>
      <c r="F77" s="6" t="s">
        <v>17</v>
      </c>
      <c r="G77" s="6" t="s">
        <v>23</v>
      </c>
      <c r="H77" s="7">
        <v>44998.0</v>
      </c>
      <c r="I77" s="8">
        <v>244.0</v>
      </c>
      <c r="J77" s="8">
        <v>53.21</v>
      </c>
      <c r="K77" s="8">
        <v>277.26</v>
      </c>
      <c r="O77" s="14" t="str">
        <f t="shared" si="1"/>
        <v>South</v>
      </c>
      <c r="P77" s="14" t="str">
        <f t="shared" si="2"/>
        <v>Food</v>
      </c>
    </row>
    <row r="78">
      <c r="B78" s="6" t="s">
        <v>114</v>
      </c>
      <c r="C78" s="6" t="s">
        <v>26</v>
      </c>
      <c r="D78" s="6" t="s">
        <v>15</v>
      </c>
      <c r="E78" s="6" t="s">
        <v>16</v>
      </c>
      <c r="F78" s="6" t="s">
        <v>17</v>
      </c>
      <c r="G78" s="6" t="s">
        <v>18</v>
      </c>
      <c r="H78" s="7">
        <v>44999.0</v>
      </c>
      <c r="I78" s="8">
        <v>54.0</v>
      </c>
      <c r="J78" s="8">
        <v>205.49</v>
      </c>
      <c r="K78" s="8">
        <v>247.98</v>
      </c>
      <c r="O78" s="14" t="str">
        <f t="shared" si="1"/>
        <v>North</v>
      </c>
      <c r="P78" s="14" t="str">
        <f t="shared" si="2"/>
        <v>Beverages</v>
      </c>
    </row>
    <row r="79">
      <c r="B79" s="6" t="s">
        <v>115</v>
      </c>
      <c r="C79" s="6" t="s">
        <v>61</v>
      </c>
      <c r="D79" s="6" t="s">
        <v>39</v>
      </c>
      <c r="E79" s="6" t="s">
        <v>22</v>
      </c>
      <c r="F79" s="6" t="s">
        <v>17</v>
      </c>
      <c r="G79" s="6" t="s">
        <v>23</v>
      </c>
      <c r="H79" s="7">
        <v>45000.0</v>
      </c>
      <c r="I79" s="8">
        <v>323.0</v>
      </c>
      <c r="J79" s="8">
        <v>298.49</v>
      </c>
      <c r="K79" s="8">
        <v>254.01</v>
      </c>
      <c r="O79" s="14" t="str">
        <f t="shared" si="1"/>
        <v>South</v>
      </c>
      <c r="P79" s="14" t="str">
        <f t="shared" si="2"/>
        <v>Food</v>
      </c>
    </row>
    <row r="80">
      <c r="B80" s="6" t="s">
        <v>116</v>
      </c>
      <c r="C80" s="6" t="s">
        <v>26</v>
      </c>
      <c r="D80" s="6" t="s">
        <v>21</v>
      </c>
      <c r="E80" s="6" t="s">
        <v>16</v>
      </c>
      <c r="F80" s="6" t="s">
        <v>28</v>
      </c>
      <c r="G80" s="6" t="s">
        <v>33</v>
      </c>
      <c r="H80" s="7">
        <v>45001.0</v>
      </c>
      <c r="I80" s="8">
        <v>258.0</v>
      </c>
      <c r="J80" s="8">
        <v>291.81</v>
      </c>
      <c r="K80" s="8">
        <v>93.1</v>
      </c>
      <c r="O80" s="14" t="str">
        <f t="shared" si="1"/>
        <v>North</v>
      </c>
      <c r="P80" s="14" t="str">
        <f t="shared" si="2"/>
        <v>Beverages</v>
      </c>
    </row>
    <row r="81">
      <c r="B81" s="6" t="s">
        <v>117</v>
      </c>
      <c r="C81" s="6" t="s">
        <v>61</v>
      </c>
      <c r="D81" s="6" t="s">
        <v>21</v>
      </c>
      <c r="E81" s="6" t="s">
        <v>16</v>
      </c>
      <c r="F81" s="6" t="s">
        <v>28</v>
      </c>
      <c r="G81" s="6" t="s">
        <v>23</v>
      </c>
      <c r="H81" s="7">
        <v>45002.0</v>
      </c>
      <c r="I81" s="8">
        <v>40.0</v>
      </c>
      <c r="J81" s="8">
        <v>333.0</v>
      </c>
      <c r="K81" s="8">
        <v>94.59</v>
      </c>
      <c r="O81" s="14" t="str">
        <f t="shared" si="1"/>
        <v>South</v>
      </c>
      <c r="P81" s="14" t="str">
        <f t="shared" si="2"/>
        <v>Beverages</v>
      </c>
    </row>
    <row r="82">
      <c r="B82" s="6" t="s">
        <v>118</v>
      </c>
      <c r="C82" s="6" t="s">
        <v>20</v>
      </c>
      <c r="D82" s="6" t="s">
        <v>15</v>
      </c>
      <c r="E82" s="6" t="s">
        <v>27</v>
      </c>
      <c r="F82" s="6" t="s">
        <v>28</v>
      </c>
      <c r="G82" s="6" t="s">
        <v>33</v>
      </c>
      <c r="H82" s="7">
        <v>45003.0</v>
      </c>
      <c r="I82" s="8">
        <v>32.0</v>
      </c>
      <c r="J82" s="8">
        <v>52.15</v>
      </c>
      <c r="K82" s="8">
        <v>89.88</v>
      </c>
      <c r="O82" s="14" t="str">
        <f t="shared" si="1"/>
        <v>West</v>
      </c>
      <c r="P82" s="14" t="str">
        <f t="shared" si="2"/>
        <v>Clothing</v>
      </c>
    </row>
    <row r="83">
      <c r="B83" s="6" t="s">
        <v>119</v>
      </c>
      <c r="C83" s="6" t="s">
        <v>20</v>
      </c>
      <c r="D83" s="6" t="s">
        <v>15</v>
      </c>
      <c r="E83" s="6" t="s">
        <v>16</v>
      </c>
      <c r="F83" s="6" t="s">
        <v>28</v>
      </c>
      <c r="G83" s="6" t="s">
        <v>18</v>
      </c>
      <c r="H83" s="7">
        <v>45004.0</v>
      </c>
      <c r="I83" s="8">
        <v>435.0</v>
      </c>
      <c r="J83" s="8">
        <v>327.8</v>
      </c>
      <c r="K83" s="8">
        <v>71.15</v>
      </c>
      <c r="O83" s="14" t="str">
        <f t="shared" si="1"/>
        <v>West</v>
      </c>
      <c r="P83" s="14" t="str">
        <f t="shared" si="2"/>
        <v>Beverages</v>
      </c>
    </row>
    <row r="84">
      <c r="B84" s="6" t="s">
        <v>120</v>
      </c>
      <c r="C84" s="6" t="s">
        <v>14</v>
      </c>
      <c r="D84" s="6" t="s">
        <v>63</v>
      </c>
      <c r="E84" s="6" t="s">
        <v>32</v>
      </c>
      <c r="F84" s="6" t="s">
        <v>28</v>
      </c>
      <c r="G84" s="6" t="s">
        <v>18</v>
      </c>
      <c r="H84" s="7">
        <v>45005.0</v>
      </c>
      <c r="I84" s="8">
        <v>403.0</v>
      </c>
      <c r="J84" s="8">
        <v>159.51</v>
      </c>
      <c r="K84" s="8">
        <v>262.98</v>
      </c>
      <c r="O84" s="14" t="str">
        <f t="shared" si="1"/>
        <v>East</v>
      </c>
      <c r="P84" s="14" t="str">
        <f t="shared" si="2"/>
        <v>Furniture</v>
      </c>
    </row>
    <row r="85">
      <c r="B85" s="6" t="s">
        <v>121</v>
      </c>
      <c r="C85" s="6" t="s">
        <v>20</v>
      </c>
      <c r="D85" s="6" t="s">
        <v>63</v>
      </c>
      <c r="E85" s="6" t="s">
        <v>27</v>
      </c>
      <c r="F85" s="6" t="s">
        <v>17</v>
      </c>
      <c r="G85" s="6" t="s">
        <v>18</v>
      </c>
      <c r="H85" s="7">
        <v>45006.0</v>
      </c>
      <c r="I85" s="8">
        <v>169.0</v>
      </c>
      <c r="J85" s="6"/>
      <c r="K85" s="8">
        <v>339.51</v>
      </c>
      <c r="O85" s="14" t="str">
        <f t="shared" si="1"/>
        <v>West</v>
      </c>
      <c r="P85" s="14" t="str">
        <f t="shared" si="2"/>
        <v>Clothing</v>
      </c>
    </row>
    <row r="86">
      <c r="B86" s="6" t="s">
        <v>122</v>
      </c>
      <c r="C86" s="6" t="s">
        <v>14</v>
      </c>
      <c r="D86" s="6" t="s">
        <v>39</v>
      </c>
      <c r="E86" s="6" t="s">
        <v>16</v>
      </c>
      <c r="F86" s="6" t="s">
        <v>17</v>
      </c>
      <c r="G86" s="6" t="s">
        <v>23</v>
      </c>
      <c r="H86" s="7">
        <v>45007.0</v>
      </c>
      <c r="I86" s="8">
        <v>372.0</v>
      </c>
      <c r="J86" s="8">
        <v>429.7</v>
      </c>
      <c r="K86" s="8">
        <v>290.28</v>
      </c>
      <c r="O86" s="14" t="str">
        <f t="shared" si="1"/>
        <v>East</v>
      </c>
      <c r="P86" s="14" t="str">
        <f t="shared" si="2"/>
        <v>Beverages</v>
      </c>
    </row>
    <row r="87">
      <c r="B87" s="6" t="s">
        <v>123</v>
      </c>
      <c r="C87" s="6" t="s">
        <v>20</v>
      </c>
      <c r="D87" s="6" t="s">
        <v>15</v>
      </c>
      <c r="E87" s="6" t="s">
        <v>55</v>
      </c>
      <c r="F87" s="6" t="s">
        <v>28</v>
      </c>
      <c r="G87" s="6" t="s">
        <v>33</v>
      </c>
      <c r="H87" s="7">
        <v>45008.0</v>
      </c>
      <c r="I87" s="8">
        <v>446.0</v>
      </c>
      <c r="J87" s="8">
        <v>9.47</v>
      </c>
      <c r="K87" s="8">
        <v>317.25</v>
      </c>
      <c r="O87" s="14" t="str">
        <f t="shared" si="1"/>
        <v>West</v>
      </c>
      <c r="P87" s="14" t="str">
        <f t="shared" si="2"/>
        <v>Electronics</v>
      </c>
    </row>
    <row r="88">
      <c r="B88" s="6" t="s">
        <v>124</v>
      </c>
      <c r="C88" s="6" t="s">
        <v>26</v>
      </c>
      <c r="D88" s="6" t="s">
        <v>21</v>
      </c>
      <c r="E88" s="6" t="s">
        <v>32</v>
      </c>
      <c r="F88" s="6" t="s">
        <v>17</v>
      </c>
      <c r="G88" s="6" t="s">
        <v>18</v>
      </c>
      <c r="H88" s="7">
        <v>45009.0</v>
      </c>
      <c r="I88" s="8">
        <v>167.0</v>
      </c>
      <c r="J88" s="8">
        <v>296.26</v>
      </c>
      <c r="K88" s="8">
        <v>163.11</v>
      </c>
      <c r="O88" s="14" t="str">
        <f t="shared" si="1"/>
        <v>North</v>
      </c>
      <c r="P88" s="14" t="str">
        <f t="shared" si="2"/>
        <v>Furniture</v>
      </c>
    </row>
    <row r="89">
      <c r="B89" s="6" t="s">
        <v>125</v>
      </c>
      <c r="C89" s="6" t="s">
        <v>20</v>
      </c>
      <c r="D89" s="6" t="s">
        <v>63</v>
      </c>
      <c r="E89" s="6" t="s">
        <v>32</v>
      </c>
      <c r="F89" s="6" t="s">
        <v>28</v>
      </c>
      <c r="G89" s="6" t="s">
        <v>18</v>
      </c>
      <c r="H89" s="7">
        <v>45010.0</v>
      </c>
      <c r="I89" s="8">
        <v>48.0</v>
      </c>
      <c r="J89" s="8">
        <v>301.36</v>
      </c>
      <c r="K89" s="8">
        <v>262.32</v>
      </c>
      <c r="O89" s="14" t="str">
        <f t="shared" si="1"/>
        <v>West</v>
      </c>
      <c r="P89" s="14" t="str">
        <f t="shared" si="2"/>
        <v>Furniture</v>
      </c>
    </row>
    <row r="90">
      <c r="B90" s="6" t="s">
        <v>126</v>
      </c>
      <c r="C90" s="6" t="s">
        <v>14</v>
      </c>
      <c r="D90" s="6" t="s">
        <v>63</v>
      </c>
      <c r="E90" s="6" t="s">
        <v>32</v>
      </c>
      <c r="F90" s="6" t="s">
        <v>28</v>
      </c>
      <c r="G90" s="6" t="s">
        <v>33</v>
      </c>
      <c r="H90" s="7">
        <v>45011.0</v>
      </c>
      <c r="I90" s="8">
        <v>424.0</v>
      </c>
      <c r="J90" s="8">
        <v>201.35</v>
      </c>
      <c r="K90" s="8">
        <v>142.99</v>
      </c>
      <c r="O90" s="14" t="str">
        <f t="shared" si="1"/>
        <v>East</v>
      </c>
      <c r="P90" s="14" t="str">
        <f t="shared" si="2"/>
        <v>Furniture</v>
      </c>
    </row>
    <row r="91">
      <c r="B91" s="6" t="s">
        <v>127</v>
      </c>
      <c r="C91" s="6" t="s">
        <v>14</v>
      </c>
      <c r="D91" s="6" t="s">
        <v>21</v>
      </c>
      <c r="E91" s="6" t="s">
        <v>27</v>
      </c>
      <c r="F91" s="6" t="s">
        <v>17</v>
      </c>
      <c r="G91" s="6" t="s">
        <v>18</v>
      </c>
      <c r="H91" s="7">
        <v>45012.0</v>
      </c>
      <c r="I91" s="8">
        <v>91.0</v>
      </c>
      <c r="J91" s="8">
        <v>122.33</v>
      </c>
      <c r="K91" s="8">
        <v>211.15</v>
      </c>
      <c r="O91" s="14" t="str">
        <f t="shared" si="1"/>
        <v>East</v>
      </c>
      <c r="P91" s="14" t="str">
        <f t="shared" si="2"/>
        <v>Clothing</v>
      </c>
    </row>
    <row r="92">
      <c r="B92" s="6" t="s">
        <v>128</v>
      </c>
      <c r="C92" s="6" t="s">
        <v>61</v>
      </c>
      <c r="D92" s="6" t="s">
        <v>63</v>
      </c>
      <c r="E92" s="6" t="s">
        <v>16</v>
      </c>
      <c r="F92" s="6" t="s">
        <v>17</v>
      </c>
      <c r="G92" s="6" t="s">
        <v>33</v>
      </c>
      <c r="H92" s="7">
        <v>45013.0</v>
      </c>
      <c r="I92" s="8">
        <v>365.0</v>
      </c>
      <c r="J92" s="8">
        <v>121.16</v>
      </c>
      <c r="K92" s="8">
        <v>193.69</v>
      </c>
      <c r="O92" s="14" t="str">
        <f t="shared" si="1"/>
        <v>South</v>
      </c>
      <c r="P92" s="14" t="str">
        <f t="shared" si="2"/>
        <v>Beverages</v>
      </c>
    </row>
    <row r="93">
      <c r="B93" s="6" t="s">
        <v>129</v>
      </c>
      <c r="C93" s="6" t="s">
        <v>26</v>
      </c>
      <c r="D93" s="6" t="s">
        <v>39</v>
      </c>
      <c r="E93" s="6" t="s">
        <v>16</v>
      </c>
      <c r="F93" s="6" t="s">
        <v>17</v>
      </c>
      <c r="G93" s="6" t="s">
        <v>33</v>
      </c>
      <c r="H93" s="7">
        <v>45014.0</v>
      </c>
      <c r="I93" s="8">
        <v>267.0</v>
      </c>
      <c r="J93" s="8">
        <v>442.44</v>
      </c>
      <c r="K93" s="8">
        <v>72.4</v>
      </c>
      <c r="O93" s="14" t="str">
        <f t="shared" si="1"/>
        <v>North</v>
      </c>
      <c r="P93" s="14" t="str">
        <f t="shared" si="2"/>
        <v>Beverages</v>
      </c>
    </row>
    <row r="94">
      <c r="B94" s="6" t="s">
        <v>130</v>
      </c>
      <c r="C94" s="6" t="s">
        <v>20</v>
      </c>
      <c r="D94" s="6" t="s">
        <v>15</v>
      </c>
      <c r="E94" s="6" t="s">
        <v>55</v>
      </c>
      <c r="F94" s="6" t="s">
        <v>28</v>
      </c>
      <c r="G94" s="6" t="s">
        <v>33</v>
      </c>
      <c r="H94" s="7">
        <v>45015.0</v>
      </c>
      <c r="I94" s="8">
        <v>215.0</v>
      </c>
      <c r="J94" s="8">
        <v>223.8</v>
      </c>
      <c r="K94" s="8">
        <v>156.06</v>
      </c>
      <c r="O94" s="14" t="str">
        <f t="shared" si="1"/>
        <v>West</v>
      </c>
      <c r="P94" s="14" t="str">
        <f t="shared" si="2"/>
        <v>Electronics</v>
      </c>
    </row>
    <row r="95">
      <c r="B95" s="6" t="s">
        <v>131</v>
      </c>
      <c r="C95" s="6" t="s">
        <v>61</v>
      </c>
      <c r="D95" s="6" t="s">
        <v>21</v>
      </c>
      <c r="E95" s="6" t="s">
        <v>55</v>
      </c>
      <c r="F95" s="6" t="s">
        <v>17</v>
      </c>
      <c r="G95" s="6" t="s">
        <v>33</v>
      </c>
      <c r="H95" s="7">
        <v>45016.0</v>
      </c>
      <c r="I95" s="8">
        <v>86.0</v>
      </c>
      <c r="J95" s="8">
        <v>168.79</v>
      </c>
      <c r="K95" s="8">
        <v>385.6</v>
      </c>
      <c r="O95" s="14" t="str">
        <f t="shared" si="1"/>
        <v>South</v>
      </c>
      <c r="P95" s="14" t="str">
        <f t="shared" si="2"/>
        <v>Electronics</v>
      </c>
    </row>
    <row r="96">
      <c r="B96" s="6" t="s">
        <v>132</v>
      </c>
      <c r="C96" s="6" t="s">
        <v>20</v>
      </c>
      <c r="D96" s="6" t="s">
        <v>15</v>
      </c>
      <c r="E96" s="6" t="s">
        <v>32</v>
      </c>
      <c r="F96" s="6" t="s">
        <v>28</v>
      </c>
      <c r="G96" s="6" t="s">
        <v>33</v>
      </c>
      <c r="H96" s="7">
        <v>45017.0</v>
      </c>
      <c r="I96" s="8">
        <v>486.0</v>
      </c>
      <c r="J96" s="8">
        <v>227.14</v>
      </c>
      <c r="K96" s="8">
        <v>100.93</v>
      </c>
      <c r="O96" s="14" t="str">
        <f t="shared" si="1"/>
        <v>West</v>
      </c>
      <c r="P96" s="14" t="str">
        <f t="shared" si="2"/>
        <v>Furniture</v>
      </c>
    </row>
    <row r="97">
      <c r="B97" s="6" t="s">
        <v>133</v>
      </c>
      <c r="C97" s="6" t="s">
        <v>20</v>
      </c>
      <c r="D97" s="6" t="s">
        <v>63</v>
      </c>
      <c r="E97" s="6" t="s">
        <v>55</v>
      </c>
      <c r="F97" s="6" t="s">
        <v>28</v>
      </c>
      <c r="G97" s="6" t="s">
        <v>23</v>
      </c>
      <c r="H97" s="7">
        <v>45018.0</v>
      </c>
      <c r="I97" s="8">
        <v>21.0</v>
      </c>
      <c r="J97" s="6"/>
      <c r="K97" s="8">
        <v>55.25</v>
      </c>
      <c r="O97" s="14" t="str">
        <f t="shared" si="1"/>
        <v>West</v>
      </c>
      <c r="P97" s="14" t="str">
        <f t="shared" si="2"/>
        <v>Electronics</v>
      </c>
    </row>
    <row r="98">
      <c r="B98" s="6" t="s">
        <v>134</v>
      </c>
      <c r="C98" s="6" t="s">
        <v>61</v>
      </c>
      <c r="D98" s="6" t="s">
        <v>63</v>
      </c>
      <c r="E98" s="6" t="s">
        <v>27</v>
      </c>
      <c r="F98" s="6" t="s">
        <v>28</v>
      </c>
      <c r="G98" s="6" t="s">
        <v>18</v>
      </c>
      <c r="H98" s="7">
        <v>45019.0</v>
      </c>
      <c r="I98" s="8">
        <v>304.0</v>
      </c>
      <c r="J98" s="8">
        <v>77.15</v>
      </c>
      <c r="K98" s="8">
        <v>168.6</v>
      </c>
      <c r="O98" s="14" t="str">
        <f t="shared" si="1"/>
        <v>South</v>
      </c>
      <c r="P98" s="14" t="str">
        <f t="shared" si="2"/>
        <v>Clothing</v>
      </c>
    </row>
    <row r="99">
      <c r="B99" s="6" t="s">
        <v>135</v>
      </c>
      <c r="C99" s="6" t="s">
        <v>61</v>
      </c>
      <c r="D99" s="6" t="s">
        <v>21</v>
      </c>
      <c r="E99" s="6" t="s">
        <v>16</v>
      </c>
      <c r="F99" s="6" t="s">
        <v>17</v>
      </c>
      <c r="G99" s="6" t="s">
        <v>23</v>
      </c>
      <c r="H99" s="7">
        <v>45020.0</v>
      </c>
      <c r="I99" s="8">
        <v>459.0</v>
      </c>
      <c r="J99" s="8">
        <v>227.47</v>
      </c>
      <c r="K99" s="8">
        <v>316.55</v>
      </c>
      <c r="O99" s="14" t="str">
        <f t="shared" si="1"/>
        <v>South</v>
      </c>
      <c r="P99" s="14" t="str">
        <f t="shared" si="2"/>
        <v>Beverages</v>
      </c>
    </row>
    <row r="100">
      <c r="B100" s="6" t="s">
        <v>136</v>
      </c>
      <c r="C100" s="6" t="s">
        <v>61</v>
      </c>
      <c r="D100" s="6" t="s">
        <v>39</v>
      </c>
      <c r="E100" s="6" t="s">
        <v>32</v>
      </c>
      <c r="F100" s="6" t="s">
        <v>17</v>
      </c>
      <c r="G100" s="6" t="s">
        <v>18</v>
      </c>
      <c r="H100" s="7">
        <v>45021.0</v>
      </c>
      <c r="I100" s="8">
        <v>233.0</v>
      </c>
      <c r="J100" s="8">
        <v>296.0</v>
      </c>
      <c r="K100" s="8">
        <v>233.69</v>
      </c>
      <c r="O100" s="14" t="str">
        <f t="shared" si="1"/>
        <v>South</v>
      </c>
      <c r="P100" s="14" t="str">
        <f t="shared" si="2"/>
        <v>Furniture</v>
      </c>
    </row>
    <row r="101">
      <c r="B101" s="6" t="s">
        <v>137</v>
      </c>
      <c r="C101" s="6" t="s">
        <v>61</v>
      </c>
      <c r="D101" s="6" t="s">
        <v>31</v>
      </c>
      <c r="E101" s="6" t="s">
        <v>55</v>
      </c>
      <c r="F101" s="6" t="s">
        <v>28</v>
      </c>
      <c r="G101" s="6" t="s">
        <v>23</v>
      </c>
      <c r="H101" s="7">
        <v>45022.0</v>
      </c>
      <c r="I101" s="8">
        <v>22.0</v>
      </c>
      <c r="J101" s="8">
        <v>474.55</v>
      </c>
      <c r="K101" s="8">
        <v>273.03</v>
      </c>
      <c r="O101" s="14" t="str">
        <f t="shared" si="1"/>
        <v>South</v>
      </c>
      <c r="P101" s="14" t="str">
        <f t="shared" si="2"/>
        <v>Electronics</v>
      </c>
    </row>
    <row r="102">
      <c r="B102" s="6" t="s">
        <v>138</v>
      </c>
      <c r="C102" s="6" t="s">
        <v>61</v>
      </c>
      <c r="D102" s="6" t="s">
        <v>21</v>
      </c>
      <c r="E102" s="6" t="s">
        <v>27</v>
      </c>
      <c r="F102" s="6" t="s">
        <v>17</v>
      </c>
      <c r="G102" s="6" t="s">
        <v>33</v>
      </c>
      <c r="H102" s="7">
        <v>45023.0</v>
      </c>
      <c r="I102" s="8">
        <v>55.0</v>
      </c>
      <c r="J102" s="8">
        <v>130.0</v>
      </c>
      <c r="K102" s="8">
        <v>77.5</v>
      </c>
      <c r="O102" s="14" t="str">
        <f t="shared" si="1"/>
        <v>South</v>
      </c>
      <c r="P102" s="14" t="str">
        <f t="shared" si="2"/>
        <v>Clothing</v>
      </c>
    </row>
    <row r="103">
      <c r="B103" s="6" t="s">
        <v>139</v>
      </c>
      <c r="C103" s="6" t="s">
        <v>20</v>
      </c>
      <c r="D103" s="6" t="s">
        <v>31</v>
      </c>
      <c r="E103" s="6" t="s">
        <v>27</v>
      </c>
      <c r="F103" s="6" t="s">
        <v>17</v>
      </c>
      <c r="G103" s="6" t="s">
        <v>18</v>
      </c>
      <c r="H103" s="7">
        <v>45024.0</v>
      </c>
      <c r="I103" s="8">
        <v>164.0</v>
      </c>
      <c r="J103" s="8">
        <v>182.83</v>
      </c>
      <c r="K103" s="8">
        <v>248.34</v>
      </c>
      <c r="O103" s="14" t="str">
        <f t="shared" si="1"/>
        <v>West</v>
      </c>
      <c r="P103" s="14" t="str">
        <f t="shared" si="2"/>
        <v>Clothing</v>
      </c>
    </row>
    <row r="104">
      <c r="B104" s="6" t="s">
        <v>140</v>
      </c>
      <c r="C104" s="6" t="s">
        <v>61</v>
      </c>
      <c r="D104" s="6" t="s">
        <v>31</v>
      </c>
      <c r="E104" s="6" t="s">
        <v>55</v>
      </c>
      <c r="F104" s="6" t="s">
        <v>17</v>
      </c>
      <c r="G104" s="6" t="s">
        <v>18</v>
      </c>
      <c r="H104" s="7">
        <v>45025.0</v>
      </c>
      <c r="I104" s="8">
        <v>122.0</v>
      </c>
      <c r="J104" s="8">
        <v>192.78</v>
      </c>
      <c r="K104" s="8">
        <v>130.75</v>
      </c>
      <c r="O104" s="14" t="str">
        <f t="shared" si="1"/>
        <v>South</v>
      </c>
      <c r="P104" s="14" t="str">
        <f t="shared" si="2"/>
        <v>Electronics</v>
      </c>
    </row>
    <row r="105">
      <c r="B105" s="6" t="s">
        <v>141</v>
      </c>
      <c r="C105" s="6" t="s">
        <v>26</v>
      </c>
      <c r="D105" s="6" t="s">
        <v>39</v>
      </c>
      <c r="E105" s="6" t="s">
        <v>16</v>
      </c>
      <c r="F105" s="6" t="s">
        <v>28</v>
      </c>
      <c r="G105" s="6" t="s">
        <v>23</v>
      </c>
      <c r="H105" s="7">
        <v>45026.0</v>
      </c>
      <c r="I105" s="8">
        <v>242.0</v>
      </c>
      <c r="J105" s="8">
        <v>304.74</v>
      </c>
      <c r="K105" s="8">
        <v>334.05</v>
      </c>
      <c r="O105" s="14" t="str">
        <f t="shared" si="1"/>
        <v>North</v>
      </c>
      <c r="P105" s="14" t="str">
        <f t="shared" si="2"/>
        <v>Beverages</v>
      </c>
    </row>
    <row r="106">
      <c r="B106" s="6" t="s">
        <v>142</v>
      </c>
      <c r="C106" s="6" t="s">
        <v>14</v>
      </c>
      <c r="D106" s="6" t="s">
        <v>31</v>
      </c>
      <c r="E106" s="6" t="s">
        <v>55</v>
      </c>
      <c r="F106" s="6" t="s">
        <v>28</v>
      </c>
      <c r="G106" s="6" t="s">
        <v>23</v>
      </c>
      <c r="H106" s="7">
        <v>45027.0</v>
      </c>
      <c r="I106" s="8">
        <v>26.0</v>
      </c>
      <c r="J106" s="8">
        <v>181.58</v>
      </c>
      <c r="K106" s="8">
        <v>252.46</v>
      </c>
      <c r="O106" s="14" t="str">
        <f t="shared" si="1"/>
        <v>East</v>
      </c>
      <c r="P106" s="14" t="str">
        <f t="shared" si="2"/>
        <v>Electronics</v>
      </c>
    </row>
    <row r="107">
      <c r="B107" s="6" t="s">
        <v>143</v>
      </c>
      <c r="C107" s="6" t="s">
        <v>61</v>
      </c>
      <c r="D107" s="6" t="s">
        <v>31</v>
      </c>
      <c r="E107" s="6" t="s">
        <v>32</v>
      </c>
      <c r="F107" s="6" t="s">
        <v>17</v>
      </c>
      <c r="G107" s="6" t="s">
        <v>18</v>
      </c>
      <c r="H107" s="7">
        <v>45028.0</v>
      </c>
      <c r="I107" s="8">
        <v>369.0</v>
      </c>
      <c r="J107" s="8">
        <v>269.09</v>
      </c>
      <c r="K107" s="8">
        <v>81.14</v>
      </c>
      <c r="O107" s="14" t="str">
        <f t="shared" si="1"/>
        <v>South</v>
      </c>
      <c r="P107" s="14" t="str">
        <f t="shared" si="2"/>
        <v>Furniture</v>
      </c>
    </row>
    <row r="108">
      <c r="B108" s="6" t="s">
        <v>144</v>
      </c>
      <c r="C108" s="6" t="s">
        <v>61</v>
      </c>
      <c r="D108" s="6" t="s">
        <v>39</v>
      </c>
      <c r="E108" s="6" t="s">
        <v>55</v>
      </c>
      <c r="F108" s="6" t="s">
        <v>28</v>
      </c>
      <c r="G108" s="6" t="s">
        <v>23</v>
      </c>
      <c r="H108" s="7">
        <v>45029.0</v>
      </c>
      <c r="I108" s="8">
        <v>232.0</v>
      </c>
      <c r="J108" s="8">
        <v>391.99</v>
      </c>
      <c r="K108" s="8">
        <v>27.72</v>
      </c>
      <c r="O108" s="14" t="str">
        <f t="shared" si="1"/>
        <v>South</v>
      </c>
      <c r="P108" s="14" t="str">
        <f t="shared" si="2"/>
        <v>Electronics</v>
      </c>
    </row>
    <row r="109">
      <c r="B109" s="6" t="s">
        <v>145</v>
      </c>
      <c r="C109" s="6" t="s">
        <v>20</v>
      </c>
      <c r="D109" s="6" t="s">
        <v>31</v>
      </c>
      <c r="E109" s="6" t="s">
        <v>27</v>
      </c>
      <c r="F109" s="6" t="s">
        <v>17</v>
      </c>
      <c r="G109" s="6" t="s">
        <v>23</v>
      </c>
      <c r="H109" s="7">
        <v>45030.0</v>
      </c>
      <c r="I109" s="8">
        <v>363.0</v>
      </c>
      <c r="J109" s="8">
        <v>354.17</v>
      </c>
      <c r="K109" s="8">
        <v>18.97</v>
      </c>
      <c r="O109" s="14" t="str">
        <f t="shared" si="1"/>
        <v>West</v>
      </c>
      <c r="P109" s="14" t="str">
        <f t="shared" si="2"/>
        <v>Clothing</v>
      </c>
    </row>
    <row r="110">
      <c r="B110" s="6" t="s">
        <v>146</v>
      </c>
      <c r="C110" s="6" t="s">
        <v>61</v>
      </c>
      <c r="D110" s="6" t="s">
        <v>31</v>
      </c>
      <c r="E110" s="6" t="s">
        <v>55</v>
      </c>
      <c r="F110" s="6" t="s">
        <v>17</v>
      </c>
      <c r="G110" s="6" t="s">
        <v>23</v>
      </c>
      <c r="H110" s="7">
        <v>45031.0</v>
      </c>
      <c r="I110" s="8">
        <v>197.0</v>
      </c>
      <c r="J110" s="8">
        <v>225.95</v>
      </c>
      <c r="K110" s="8">
        <v>149.82</v>
      </c>
      <c r="O110" s="14" t="str">
        <f t="shared" si="1"/>
        <v>South</v>
      </c>
      <c r="P110" s="14" t="str">
        <f t="shared" si="2"/>
        <v>Electronics</v>
      </c>
    </row>
    <row r="111">
      <c r="B111" s="6" t="s">
        <v>147</v>
      </c>
      <c r="C111" s="6" t="s">
        <v>61</v>
      </c>
      <c r="D111" s="6" t="s">
        <v>31</v>
      </c>
      <c r="E111" s="6" t="s">
        <v>16</v>
      </c>
      <c r="F111" s="6" t="s">
        <v>17</v>
      </c>
      <c r="G111" s="6" t="s">
        <v>33</v>
      </c>
      <c r="H111" s="7">
        <v>45032.0</v>
      </c>
      <c r="I111" s="8">
        <v>457.0</v>
      </c>
      <c r="J111" s="8">
        <v>432.79</v>
      </c>
      <c r="K111" s="8">
        <v>107.81</v>
      </c>
      <c r="O111" s="14" t="str">
        <f t="shared" si="1"/>
        <v>South</v>
      </c>
      <c r="P111" s="14" t="str">
        <f t="shared" si="2"/>
        <v>Beverages</v>
      </c>
    </row>
    <row r="112">
      <c r="B112" s="6" t="s">
        <v>148</v>
      </c>
      <c r="C112" s="6" t="s">
        <v>61</v>
      </c>
      <c r="D112" s="6" t="s">
        <v>21</v>
      </c>
      <c r="E112" s="6" t="s">
        <v>22</v>
      </c>
      <c r="F112" s="6" t="s">
        <v>17</v>
      </c>
      <c r="G112" s="6" t="s">
        <v>33</v>
      </c>
      <c r="H112" s="7">
        <v>45033.0</v>
      </c>
      <c r="I112" s="8">
        <v>353.0</v>
      </c>
      <c r="J112" s="8">
        <v>281.28</v>
      </c>
      <c r="K112" s="8">
        <v>259.14</v>
      </c>
      <c r="O112" s="14" t="str">
        <f t="shared" si="1"/>
        <v>South</v>
      </c>
      <c r="P112" s="14" t="str">
        <f t="shared" si="2"/>
        <v>Food</v>
      </c>
    </row>
    <row r="113">
      <c r="B113" s="6" t="s">
        <v>149</v>
      </c>
      <c r="C113" s="6" t="s">
        <v>20</v>
      </c>
      <c r="D113" s="6" t="s">
        <v>21</v>
      </c>
      <c r="E113" s="6" t="s">
        <v>55</v>
      </c>
      <c r="F113" s="6" t="s">
        <v>28</v>
      </c>
      <c r="G113" s="6" t="s">
        <v>23</v>
      </c>
      <c r="H113" s="7">
        <v>45034.0</v>
      </c>
      <c r="I113" s="8">
        <v>374.0</v>
      </c>
      <c r="J113" s="8">
        <v>272.25</v>
      </c>
      <c r="K113" s="8">
        <v>200.73</v>
      </c>
      <c r="O113" s="14" t="str">
        <f t="shared" si="1"/>
        <v>West</v>
      </c>
      <c r="P113" s="14" t="str">
        <f t="shared" si="2"/>
        <v>Electronics</v>
      </c>
    </row>
    <row r="114">
      <c r="B114" s="6" t="s">
        <v>150</v>
      </c>
      <c r="C114" s="6" t="s">
        <v>61</v>
      </c>
      <c r="D114" s="6" t="s">
        <v>21</v>
      </c>
      <c r="E114" s="6" t="s">
        <v>16</v>
      </c>
      <c r="F114" s="6" t="s">
        <v>28</v>
      </c>
      <c r="G114" s="6" t="s">
        <v>23</v>
      </c>
      <c r="H114" s="7">
        <v>45035.0</v>
      </c>
      <c r="I114" s="8">
        <v>172.0</v>
      </c>
      <c r="J114" s="8">
        <v>21.92</v>
      </c>
      <c r="K114" s="8">
        <v>107.88</v>
      </c>
      <c r="O114" s="14" t="str">
        <f t="shared" si="1"/>
        <v>South</v>
      </c>
      <c r="P114" s="14" t="str">
        <f t="shared" si="2"/>
        <v>Beverages</v>
      </c>
    </row>
    <row r="115">
      <c r="B115" s="6" t="s">
        <v>151</v>
      </c>
      <c r="C115" s="6" t="s">
        <v>14</v>
      </c>
      <c r="D115" s="6" t="s">
        <v>39</v>
      </c>
      <c r="E115" s="6" t="s">
        <v>16</v>
      </c>
      <c r="F115" s="6" t="s">
        <v>28</v>
      </c>
      <c r="G115" s="6" t="s">
        <v>33</v>
      </c>
      <c r="H115" s="7">
        <v>45036.0</v>
      </c>
      <c r="I115" s="8">
        <v>335.0</v>
      </c>
      <c r="J115" s="8">
        <v>493.41</v>
      </c>
      <c r="K115" s="8">
        <v>61.4</v>
      </c>
      <c r="O115" s="14" t="str">
        <f t="shared" si="1"/>
        <v>East</v>
      </c>
      <c r="P115" s="14" t="str">
        <f t="shared" si="2"/>
        <v>Beverages</v>
      </c>
    </row>
    <row r="116">
      <c r="B116" s="6" t="s">
        <v>152</v>
      </c>
      <c r="C116" s="6" t="s">
        <v>20</v>
      </c>
      <c r="D116" s="6" t="s">
        <v>63</v>
      </c>
      <c r="E116" s="6" t="s">
        <v>27</v>
      </c>
      <c r="F116" s="6" t="s">
        <v>17</v>
      </c>
      <c r="G116" s="6" t="s">
        <v>33</v>
      </c>
      <c r="H116" s="7">
        <v>45037.0</v>
      </c>
      <c r="I116" s="8">
        <v>476.0</v>
      </c>
      <c r="J116" s="8">
        <v>65.87</v>
      </c>
      <c r="K116" s="8">
        <v>52.63</v>
      </c>
      <c r="O116" s="14" t="str">
        <f t="shared" si="1"/>
        <v>West</v>
      </c>
      <c r="P116" s="14" t="str">
        <f t="shared" si="2"/>
        <v>Clothing</v>
      </c>
    </row>
    <row r="117">
      <c r="B117" s="6" t="s">
        <v>153</v>
      </c>
      <c r="C117" s="6" t="s">
        <v>14</v>
      </c>
      <c r="D117" s="6" t="s">
        <v>31</v>
      </c>
      <c r="E117" s="6" t="s">
        <v>16</v>
      </c>
      <c r="F117" s="6" t="s">
        <v>17</v>
      </c>
      <c r="G117" s="6" t="s">
        <v>18</v>
      </c>
      <c r="H117" s="7">
        <v>45038.0</v>
      </c>
      <c r="I117" s="8">
        <v>423.0</v>
      </c>
      <c r="J117" s="8">
        <v>119.41</v>
      </c>
      <c r="K117" s="8">
        <v>346.13</v>
      </c>
      <c r="O117" s="14" t="str">
        <f t="shared" si="1"/>
        <v>East</v>
      </c>
      <c r="P117" s="14" t="str">
        <f t="shared" si="2"/>
        <v>Beverages</v>
      </c>
    </row>
    <row r="118">
      <c r="B118" s="6" t="s">
        <v>154</v>
      </c>
      <c r="C118" s="6" t="s">
        <v>20</v>
      </c>
      <c r="D118" s="6" t="s">
        <v>31</v>
      </c>
      <c r="E118" s="6" t="s">
        <v>16</v>
      </c>
      <c r="F118" s="6" t="s">
        <v>17</v>
      </c>
      <c r="G118" s="6" t="s">
        <v>18</v>
      </c>
      <c r="H118" s="7">
        <v>45039.0</v>
      </c>
      <c r="I118" s="8">
        <v>464.0</v>
      </c>
      <c r="J118" s="8">
        <v>30.59</v>
      </c>
      <c r="K118" s="8">
        <v>98.9</v>
      </c>
      <c r="O118" s="14" t="str">
        <f t="shared" si="1"/>
        <v>West</v>
      </c>
      <c r="P118" s="14" t="str">
        <f t="shared" si="2"/>
        <v>Beverages</v>
      </c>
    </row>
    <row r="119">
      <c r="B119" s="6" t="s">
        <v>155</v>
      </c>
      <c r="C119" s="6" t="s">
        <v>61</v>
      </c>
      <c r="D119" s="6" t="s">
        <v>39</v>
      </c>
      <c r="E119" s="6" t="s">
        <v>16</v>
      </c>
      <c r="F119" s="6" t="s">
        <v>28</v>
      </c>
      <c r="G119" s="6" t="s">
        <v>33</v>
      </c>
      <c r="H119" s="7">
        <v>45040.0</v>
      </c>
      <c r="I119" s="8">
        <v>83.0</v>
      </c>
      <c r="J119" s="8">
        <v>321.8</v>
      </c>
      <c r="K119" s="8">
        <v>261.38</v>
      </c>
      <c r="O119" s="14" t="str">
        <f t="shared" si="1"/>
        <v>South</v>
      </c>
      <c r="P119" s="14" t="str">
        <f t="shared" si="2"/>
        <v>Beverages</v>
      </c>
    </row>
    <row r="120">
      <c r="B120" s="6" t="s">
        <v>156</v>
      </c>
      <c r="C120" s="6" t="s">
        <v>14</v>
      </c>
      <c r="D120" s="6" t="s">
        <v>31</v>
      </c>
      <c r="E120" s="6" t="s">
        <v>16</v>
      </c>
      <c r="F120" s="6" t="s">
        <v>17</v>
      </c>
      <c r="G120" s="6" t="s">
        <v>23</v>
      </c>
      <c r="H120" s="7">
        <v>45041.0</v>
      </c>
      <c r="I120" s="8">
        <v>242.0</v>
      </c>
      <c r="J120" s="8">
        <v>116.23</v>
      </c>
      <c r="K120" s="8">
        <v>324.65</v>
      </c>
      <c r="O120" s="14" t="str">
        <f t="shared" si="1"/>
        <v>East</v>
      </c>
      <c r="P120" s="14" t="str">
        <f t="shared" si="2"/>
        <v>Beverages</v>
      </c>
    </row>
    <row r="121">
      <c r="B121" s="6" t="s">
        <v>157</v>
      </c>
      <c r="C121" s="6" t="s">
        <v>20</v>
      </c>
      <c r="D121" s="6" t="s">
        <v>21</v>
      </c>
      <c r="E121" s="6" t="s">
        <v>32</v>
      </c>
      <c r="F121" s="6" t="s">
        <v>28</v>
      </c>
      <c r="G121" s="6" t="s">
        <v>23</v>
      </c>
      <c r="H121" s="7">
        <v>45042.0</v>
      </c>
      <c r="I121" s="8">
        <v>233.0</v>
      </c>
      <c r="J121" s="8">
        <v>94.11</v>
      </c>
      <c r="K121" s="8">
        <v>246.4</v>
      </c>
      <c r="O121" s="14" t="str">
        <f t="shared" si="1"/>
        <v>West</v>
      </c>
      <c r="P121" s="14" t="str">
        <f t="shared" si="2"/>
        <v>Furniture</v>
      </c>
    </row>
    <row r="122">
      <c r="B122" s="6" t="s">
        <v>158</v>
      </c>
      <c r="C122" s="6" t="s">
        <v>26</v>
      </c>
      <c r="D122" s="6" t="s">
        <v>63</v>
      </c>
      <c r="E122" s="6" t="s">
        <v>32</v>
      </c>
      <c r="F122" s="6" t="s">
        <v>28</v>
      </c>
      <c r="G122" s="6" t="s">
        <v>23</v>
      </c>
      <c r="H122" s="7">
        <v>45043.0</v>
      </c>
      <c r="I122" s="8">
        <v>491.0</v>
      </c>
      <c r="J122" s="8">
        <v>48.84</v>
      </c>
      <c r="K122" s="8">
        <v>344.11</v>
      </c>
      <c r="O122" s="14" t="str">
        <f t="shared" si="1"/>
        <v>North</v>
      </c>
      <c r="P122" s="14" t="str">
        <f t="shared" si="2"/>
        <v>Furniture</v>
      </c>
    </row>
    <row r="123">
      <c r="B123" s="6" t="s">
        <v>159</v>
      </c>
      <c r="C123" s="6"/>
      <c r="D123" s="6" t="s">
        <v>15</v>
      </c>
      <c r="E123" s="6" t="s">
        <v>27</v>
      </c>
      <c r="F123" s="6" t="s">
        <v>28</v>
      </c>
      <c r="G123" s="6" t="s">
        <v>23</v>
      </c>
      <c r="H123" s="7">
        <v>45044.0</v>
      </c>
      <c r="I123" s="8">
        <v>328.0</v>
      </c>
      <c r="J123" s="8">
        <v>56.14</v>
      </c>
      <c r="K123" s="8">
        <v>158.17</v>
      </c>
      <c r="O123" s="14" t="str">
        <f t="shared" si="1"/>
        <v>West</v>
      </c>
      <c r="P123" s="14" t="str">
        <f t="shared" si="2"/>
        <v>Clothing</v>
      </c>
    </row>
    <row r="124">
      <c r="B124" s="6" t="s">
        <v>160</v>
      </c>
      <c r="C124" s="6" t="s">
        <v>20</v>
      </c>
      <c r="D124" s="6" t="s">
        <v>31</v>
      </c>
      <c r="E124" s="6" t="s">
        <v>55</v>
      </c>
      <c r="F124" s="6" t="s">
        <v>28</v>
      </c>
      <c r="G124" s="6" t="s">
        <v>18</v>
      </c>
      <c r="H124" s="7">
        <v>45045.0</v>
      </c>
      <c r="I124" s="8">
        <v>421.0</v>
      </c>
      <c r="J124" s="8">
        <v>294.41</v>
      </c>
      <c r="K124" s="8">
        <v>382.58</v>
      </c>
      <c r="O124" s="14" t="str">
        <f t="shared" si="1"/>
        <v>West</v>
      </c>
      <c r="P124" s="14" t="str">
        <f t="shared" si="2"/>
        <v>Electronics</v>
      </c>
    </row>
    <row r="125">
      <c r="B125" s="6" t="s">
        <v>161</v>
      </c>
      <c r="C125" s="6" t="s">
        <v>26</v>
      </c>
      <c r="D125" s="6" t="s">
        <v>21</v>
      </c>
      <c r="E125" s="6" t="s">
        <v>16</v>
      </c>
      <c r="F125" s="6" t="s">
        <v>28</v>
      </c>
      <c r="G125" s="6" t="s">
        <v>33</v>
      </c>
      <c r="H125" s="7">
        <v>45046.0</v>
      </c>
      <c r="I125" s="8">
        <v>69.0</v>
      </c>
      <c r="J125" s="8">
        <v>345.66</v>
      </c>
      <c r="K125" s="8">
        <v>54.99</v>
      </c>
      <c r="O125" s="14" t="str">
        <f t="shared" si="1"/>
        <v>North</v>
      </c>
      <c r="P125" s="14" t="str">
        <f t="shared" si="2"/>
        <v>Beverages</v>
      </c>
    </row>
    <row r="126">
      <c r="B126" s="6" t="s">
        <v>162</v>
      </c>
      <c r="C126" s="6" t="s">
        <v>20</v>
      </c>
      <c r="D126" s="6" t="s">
        <v>15</v>
      </c>
      <c r="E126" s="6" t="s">
        <v>55</v>
      </c>
      <c r="F126" s="6" t="s">
        <v>28</v>
      </c>
      <c r="G126" s="6" t="s">
        <v>23</v>
      </c>
      <c r="H126" s="7">
        <v>45047.0</v>
      </c>
      <c r="I126" s="8">
        <v>344.0</v>
      </c>
      <c r="J126" s="8">
        <v>201.7</v>
      </c>
      <c r="K126" s="8">
        <v>42.66</v>
      </c>
      <c r="O126" s="14" t="str">
        <f t="shared" si="1"/>
        <v>West</v>
      </c>
      <c r="P126" s="14" t="str">
        <f t="shared" si="2"/>
        <v>Electronics</v>
      </c>
    </row>
    <row r="127">
      <c r="B127" s="6" t="s">
        <v>163</v>
      </c>
      <c r="C127" s="6"/>
      <c r="D127" s="6" t="s">
        <v>63</v>
      </c>
      <c r="E127" s="6" t="s">
        <v>55</v>
      </c>
      <c r="F127" s="6" t="s">
        <v>17</v>
      </c>
      <c r="G127" s="6" t="s">
        <v>18</v>
      </c>
      <c r="H127" s="7">
        <v>45048.0</v>
      </c>
      <c r="I127" s="8">
        <v>231.0</v>
      </c>
      <c r="J127" s="8">
        <v>242.55</v>
      </c>
      <c r="K127" s="8">
        <v>264.16</v>
      </c>
      <c r="O127" s="14" t="str">
        <f t="shared" si="1"/>
        <v>West</v>
      </c>
      <c r="P127" s="14" t="str">
        <f t="shared" si="2"/>
        <v>Electronics</v>
      </c>
    </row>
    <row r="128">
      <c r="B128" s="6" t="s">
        <v>164</v>
      </c>
      <c r="C128" s="6" t="s">
        <v>61</v>
      </c>
      <c r="D128" s="6" t="s">
        <v>15</v>
      </c>
      <c r="E128" s="6" t="s">
        <v>27</v>
      </c>
      <c r="F128" s="6" t="s">
        <v>17</v>
      </c>
      <c r="G128" s="6" t="s">
        <v>23</v>
      </c>
      <c r="H128" s="7">
        <v>45049.0</v>
      </c>
      <c r="I128" s="8">
        <v>46.0</v>
      </c>
      <c r="J128" s="8">
        <v>344.55</v>
      </c>
      <c r="K128" s="8">
        <v>377.25</v>
      </c>
      <c r="O128" s="14" t="str">
        <f t="shared" si="1"/>
        <v>South</v>
      </c>
      <c r="P128" s="14" t="str">
        <f t="shared" si="2"/>
        <v>Clothing</v>
      </c>
    </row>
    <row r="129">
      <c r="B129" s="6" t="s">
        <v>165</v>
      </c>
      <c r="C129" s="6" t="s">
        <v>14</v>
      </c>
      <c r="D129" s="6" t="s">
        <v>21</v>
      </c>
      <c r="E129" s="6" t="s">
        <v>16</v>
      </c>
      <c r="F129" s="6" t="s">
        <v>28</v>
      </c>
      <c r="G129" s="6" t="s">
        <v>33</v>
      </c>
      <c r="H129" s="7">
        <v>45050.0</v>
      </c>
      <c r="I129" s="8">
        <v>486.0</v>
      </c>
      <c r="J129" s="8">
        <v>13.6</v>
      </c>
      <c r="K129" s="8">
        <v>323.94</v>
      </c>
      <c r="O129" s="14" t="str">
        <f t="shared" si="1"/>
        <v>East</v>
      </c>
      <c r="P129" s="14" t="str">
        <f t="shared" si="2"/>
        <v>Beverages</v>
      </c>
    </row>
    <row r="130">
      <c r="B130" s="6" t="s">
        <v>166</v>
      </c>
      <c r="C130" s="6" t="s">
        <v>26</v>
      </c>
      <c r="D130" s="6" t="s">
        <v>15</v>
      </c>
      <c r="E130" s="6" t="s">
        <v>16</v>
      </c>
      <c r="F130" s="6" t="s">
        <v>28</v>
      </c>
      <c r="G130" s="6" t="s">
        <v>18</v>
      </c>
      <c r="H130" s="7">
        <v>45051.0</v>
      </c>
      <c r="I130" s="8">
        <v>287.0</v>
      </c>
      <c r="J130" s="8">
        <v>164.95</v>
      </c>
      <c r="K130" s="8">
        <v>32.41</v>
      </c>
      <c r="O130" s="14" t="str">
        <f t="shared" si="1"/>
        <v>North</v>
      </c>
      <c r="P130" s="14" t="str">
        <f t="shared" si="2"/>
        <v>Beverages</v>
      </c>
    </row>
    <row r="131">
      <c r="B131" s="6" t="s">
        <v>167</v>
      </c>
      <c r="C131" s="6" t="s">
        <v>20</v>
      </c>
      <c r="D131" s="6" t="s">
        <v>39</v>
      </c>
      <c r="E131" s="6" t="s">
        <v>22</v>
      </c>
      <c r="F131" s="6" t="s">
        <v>17</v>
      </c>
      <c r="G131" s="6" t="s">
        <v>33</v>
      </c>
      <c r="H131" s="7">
        <v>45052.0</v>
      </c>
      <c r="I131" s="8">
        <v>205.0</v>
      </c>
      <c r="J131" s="8">
        <v>486.68</v>
      </c>
      <c r="K131" s="8">
        <v>113.19</v>
      </c>
      <c r="O131" s="14" t="str">
        <f t="shared" si="1"/>
        <v>West</v>
      </c>
      <c r="P131" s="14" t="str">
        <f t="shared" si="2"/>
        <v>Food</v>
      </c>
    </row>
    <row r="132">
      <c r="B132" s="6" t="s">
        <v>168</v>
      </c>
      <c r="C132" s="6" t="s">
        <v>61</v>
      </c>
      <c r="D132" s="6" t="s">
        <v>15</v>
      </c>
      <c r="E132" s="6" t="s">
        <v>55</v>
      </c>
      <c r="F132" s="6" t="s">
        <v>28</v>
      </c>
      <c r="G132" s="6" t="s">
        <v>33</v>
      </c>
      <c r="H132" s="7">
        <v>45053.0</v>
      </c>
      <c r="I132" s="8">
        <v>413.0</v>
      </c>
      <c r="J132" s="8">
        <v>292.16</v>
      </c>
      <c r="K132" s="8">
        <v>372.27</v>
      </c>
      <c r="O132" s="14" t="str">
        <f t="shared" si="1"/>
        <v>South</v>
      </c>
      <c r="P132" s="14" t="str">
        <f t="shared" si="2"/>
        <v>Electronics</v>
      </c>
    </row>
    <row r="133">
      <c r="B133" s="6" t="s">
        <v>169</v>
      </c>
      <c r="C133" s="6" t="s">
        <v>26</v>
      </c>
      <c r="D133" s="6" t="s">
        <v>31</v>
      </c>
      <c r="E133" s="6" t="s">
        <v>55</v>
      </c>
      <c r="F133" s="6" t="s">
        <v>28</v>
      </c>
      <c r="G133" s="6" t="s">
        <v>18</v>
      </c>
      <c r="H133" s="7">
        <v>45054.0</v>
      </c>
      <c r="I133" s="8">
        <v>361.0</v>
      </c>
      <c r="J133" s="8">
        <v>130.84</v>
      </c>
      <c r="K133" s="8">
        <v>102.72</v>
      </c>
      <c r="O133" s="14" t="str">
        <f t="shared" si="1"/>
        <v>North</v>
      </c>
      <c r="P133" s="14" t="str">
        <f t="shared" si="2"/>
        <v>Electronics</v>
      </c>
    </row>
    <row r="134">
      <c r="B134" s="6" t="s">
        <v>170</v>
      </c>
      <c r="C134" s="6" t="s">
        <v>20</v>
      </c>
      <c r="D134" s="6" t="s">
        <v>31</v>
      </c>
      <c r="E134" s="6" t="s">
        <v>32</v>
      </c>
      <c r="F134" s="6" t="s">
        <v>17</v>
      </c>
      <c r="G134" s="6" t="s">
        <v>18</v>
      </c>
      <c r="H134" s="7">
        <v>45055.0</v>
      </c>
      <c r="I134" s="8">
        <v>493.0</v>
      </c>
      <c r="J134" s="8">
        <v>263.26</v>
      </c>
      <c r="K134" s="8">
        <v>312.91</v>
      </c>
      <c r="O134" s="14" t="str">
        <f t="shared" si="1"/>
        <v>West</v>
      </c>
      <c r="P134" s="14" t="str">
        <f t="shared" si="2"/>
        <v>Furniture</v>
      </c>
    </row>
    <row r="135">
      <c r="B135" s="6" t="s">
        <v>171</v>
      </c>
      <c r="C135" s="6" t="s">
        <v>20</v>
      </c>
      <c r="D135" s="6" t="s">
        <v>39</v>
      </c>
      <c r="E135" s="6" t="s">
        <v>22</v>
      </c>
      <c r="F135" s="6" t="s">
        <v>28</v>
      </c>
      <c r="G135" s="6" t="s">
        <v>18</v>
      </c>
      <c r="H135" s="7">
        <v>45056.0</v>
      </c>
      <c r="I135" s="8">
        <v>251.0</v>
      </c>
      <c r="J135" s="8">
        <v>174.61</v>
      </c>
      <c r="K135" s="8">
        <v>330.4</v>
      </c>
      <c r="O135" s="14" t="str">
        <f t="shared" si="1"/>
        <v>West</v>
      </c>
      <c r="P135" s="14" t="str">
        <f t="shared" si="2"/>
        <v>Food</v>
      </c>
    </row>
    <row r="136">
      <c r="B136" s="6" t="s">
        <v>172</v>
      </c>
      <c r="C136" s="6" t="s">
        <v>20</v>
      </c>
      <c r="D136" s="6" t="s">
        <v>21</v>
      </c>
      <c r="E136" s="6" t="s">
        <v>32</v>
      </c>
      <c r="F136" s="6" t="s">
        <v>28</v>
      </c>
      <c r="G136" s="6" t="s">
        <v>18</v>
      </c>
      <c r="H136" s="7">
        <v>45057.0</v>
      </c>
      <c r="I136" s="6"/>
      <c r="J136" s="8">
        <v>268.46</v>
      </c>
      <c r="K136" s="8">
        <v>199.19</v>
      </c>
      <c r="O136" s="14" t="str">
        <f t="shared" si="1"/>
        <v>West</v>
      </c>
      <c r="P136" s="14" t="str">
        <f t="shared" si="2"/>
        <v>Furniture</v>
      </c>
    </row>
    <row r="137">
      <c r="B137" s="6" t="s">
        <v>173</v>
      </c>
      <c r="C137" s="6" t="s">
        <v>26</v>
      </c>
      <c r="D137" s="6" t="s">
        <v>31</v>
      </c>
      <c r="E137" s="6" t="s">
        <v>32</v>
      </c>
      <c r="F137" s="6" t="s">
        <v>28</v>
      </c>
      <c r="G137" s="6" t="s">
        <v>18</v>
      </c>
      <c r="H137" s="7">
        <v>45058.0</v>
      </c>
      <c r="I137" s="8">
        <v>228.0</v>
      </c>
      <c r="J137" s="8">
        <v>67.24</v>
      </c>
      <c r="K137" s="8">
        <v>155.77</v>
      </c>
      <c r="O137" s="14" t="str">
        <f t="shared" si="1"/>
        <v>North</v>
      </c>
      <c r="P137" s="14" t="str">
        <f t="shared" si="2"/>
        <v>Furniture</v>
      </c>
    </row>
    <row r="138">
      <c r="B138" s="6" t="s">
        <v>174</v>
      </c>
      <c r="C138" s="6" t="s">
        <v>26</v>
      </c>
      <c r="D138" s="6" t="s">
        <v>63</v>
      </c>
      <c r="E138" s="6" t="s">
        <v>32</v>
      </c>
      <c r="F138" s="6" t="s">
        <v>17</v>
      </c>
      <c r="G138" s="6" t="s">
        <v>18</v>
      </c>
      <c r="H138" s="7">
        <v>45059.0</v>
      </c>
      <c r="I138" s="8">
        <v>201.0</v>
      </c>
      <c r="J138" s="8">
        <v>70.69</v>
      </c>
      <c r="K138" s="8">
        <v>181.15</v>
      </c>
      <c r="O138" s="14" t="str">
        <f t="shared" si="1"/>
        <v>North</v>
      </c>
      <c r="P138" s="14" t="str">
        <f t="shared" si="2"/>
        <v>Furniture</v>
      </c>
    </row>
    <row r="139">
      <c r="B139" s="6" t="s">
        <v>175</v>
      </c>
      <c r="C139" s="6" t="s">
        <v>26</v>
      </c>
      <c r="D139" s="6" t="s">
        <v>31</v>
      </c>
      <c r="E139" s="6" t="s">
        <v>27</v>
      </c>
      <c r="F139" s="6" t="s">
        <v>17</v>
      </c>
      <c r="G139" s="6" t="s">
        <v>18</v>
      </c>
      <c r="H139" s="7">
        <v>45060.0</v>
      </c>
      <c r="I139" s="8">
        <v>26.0</v>
      </c>
      <c r="J139" s="8">
        <v>76.05</v>
      </c>
      <c r="K139" s="8">
        <v>92.33</v>
      </c>
      <c r="O139" s="14" t="str">
        <f t="shared" si="1"/>
        <v>North</v>
      </c>
      <c r="P139" s="14" t="str">
        <f t="shared" si="2"/>
        <v>Clothing</v>
      </c>
    </row>
    <row r="140">
      <c r="B140" s="6" t="s">
        <v>176</v>
      </c>
      <c r="C140" s="6" t="s">
        <v>14</v>
      </c>
      <c r="D140" s="6" t="s">
        <v>31</v>
      </c>
      <c r="E140" s="6" t="s">
        <v>27</v>
      </c>
      <c r="F140" s="6" t="s">
        <v>17</v>
      </c>
      <c r="G140" s="6" t="s">
        <v>23</v>
      </c>
      <c r="H140" s="7">
        <v>45061.0</v>
      </c>
      <c r="I140" s="8">
        <v>21.0</v>
      </c>
      <c r="J140" s="8">
        <v>470.21</v>
      </c>
      <c r="K140" s="8">
        <v>355.98</v>
      </c>
      <c r="O140" s="14" t="str">
        <f t="shared" si="1"/>
        <v>East</v>
      </c>
      <c r="P140" s="14" t="str">
        <f t="shared" si="2"/>
        <v>Clothing</v>
      </c>
    </row>
    <row r="141">
      <c r="B141" s="6" t="s">
        <v>177</v>
      </c>
      <c r="C141" s="6" t="s">
        <v>26</v>
      </c>
      <c r="D141" s="6" t="s">
        <v>21</v>
      </c>
      <c r="E141" s="6" t="s">
        <v>32</v>
      </c>
      <c r="F141" s="6" t="s">
        <v>28</v>
      </c>
      <c r="G141" s="6" t="s">
        <v>33</v>
      </c>
      <c r="H141" s="7">
        <v>45062.0</v>
      </c>
      <c r="I141" s="8">
        <v>415.0</v>
      </c>
      <c r="J141" s="8">
        <v>367.78</v>
      </c>
      <c r="K141" s="8">
        <v>181.35</v>
      </c>
      <c r="O141" s="14" t="str">
        <f t="shared" si="1"/>
        <v>North</v>
      </c>
      <c r="P141" s="14" t="str">
        <f t="shared" si="2"/>
        <v>Furniture</v>
      </c>
    </row>
    <row r="142">
      <c r="B142" s="6" t="s">
        <v>178</v>
      </c>
      <c r="C142" s="6" t="s">
        <v>26</v>
      </c>
      <c r="D142" s="6" t="s">
        <v>15</v>
      </c>
      <c r="E142" s="6" t="s">
        <v>22</v>
      </c>
      <c r="F142" s="6" t="s">
        <v>28</v>
      </c>
      <c r="G142" s="6" t="s">
        <v>18</v>
      </c>
      <c r="H142" s="7">
        <v>45063.0</v>
      </c>
      <c r="I142" s="8">
        <v>410.0</v>
      </c>
      <c r="J142" s="8">
        <v>85.38</v>
      </c>
      <c r="K142" s="8">
        <v>353.22</v>
      </c>
      <c r="O142" s="14" t="str">
        <f t="shared" si="1"/>
        <v>North</v>
      </c>
      <c r="P142" s="14" t="str">
        <f t="shared" si="2"/>
        <v>Food</v>
      </c>
    </row>
    <row r="143">
      <c r="B143" s="6" t="s">
        <v>179</v>
      </c>
      <c r="C143" s="6" t="s">
        <v>26</v>
      </c>
      <c r="D143" s="6" t="s">
        <v>31</v>
      </c>
      <c r="E143" s="6" t="s">
        <v>55</v>
      </c>
      <c r="F143" s="6" t="s">
        <v>17</v>
      </c>
      <c r="G143" s="6" t="s">
        <v>23</v>
      </c>
      <c r="H143" s="7">
        <v>45064.0</v>
      </c>
      <c r="I143" s="8">
        <v>403.0</v>
      </c>
      <c r="J143" s="8">
        <v>98.23</v>
      </c>
      <c r="K143" s="8">
        <v>44.07</v>
      </c>
      <c r="O143" s="14" t="str">
        <f t="shared" si="1"/>
        <v>North</v>
      </c>
      <c r="P143" s="14" t="str">
        <f t="shared" si="2"/>
        <v>Electronics</v>
      </c>
    </row>
    <row r="144">
      <c r="B144" s="6" t="s">
        <v>180</v>
      </c>
      <c r="C144" s="6" t="s">
        <v>14</v>
      </c>
      <c r="D144" s="6" t="s">
        <v>39</v>
      </c>
      <c r="E144" s="6" t="s">
        <v>22</v>
      </c>
      <c r="F144" s="6" t="s">
        <v>28</v>
      </c>
      <c r="G144" s="6" t="s">
        <v>23</v>
      </c>
      <c r="H144" s="7">
        <v>45065.0</v>
      </c>
      <c r="I144" s="8">
        <v>383.0</v>
      </c>
      <c r="J144" s="8">
        <v>366.76</v>
      </c>
      <c r="K144" s="8">
        <v>395.33</v>
      </c>
      <c r="O144" s="14" t="str">
        <f t="shared" si="1"/>
        <v>East</v>
      </c>
      <c r="P144" s="14" t="str">
        <f t="shared" si="2"/>
        <v>Food</v>
      </c>
    </row>
    <row r="145">
      <c r="B145" s="6" t="s">
        <v>181</v>
      </c>
      <c r="C145" s="6" t="s">
        <v>26</v>
      </c>
      <c r="D145" s="6" t="s">
        <v>15</v>
      </c>
      <c r="E145" s="6" t="s">
        <v>16</v>
      </c>
      <c r="F145" s="6" t="s">
        <v>28</v>
      </c>
      <c r="G145" s="6" t="s">
        <v>23</v>
      </c>
      <c r="H145" s="7">
        <v>45066.0</v>
      </c>
      <c r="I145" s="8">
        <v>202.0</v>
      </c>
      <c r="J145" s="8">
        <v>82.3</v>
      </c>
      <c r="K145" s="8">
        <v>178.42</v>
      </c>
      <c r="O145" s="14" t="str">
        <f t="shared" si="1"/>
        <v>North</v>
      </c>
      <c r="P145" s="14" t="str">
        <f t="shared" si="2"/>
        <v>Beverages</v>
      </c>
    </row>
    <row r="146">
      <c r="B146" s="6" t="s">
        <v>182</v>
      </c>
      <c r="C146" s="6" t="s">
        <v>20</v>
      </c>
      <c r="D146" s="6" t="s">
        <v>63</v>
      </c>
      <c r="E146" s="6" t="s">
        <v>27</v>
      </c>
      <c r="F146" s="6" t="s">
        <v>28</v>
      </c>
      <c r="G146" s="6" t="s">
        <v>33</v>
      </c>
      <c r="H146" s="7">
        <v>45067.0</v>
      </c>
      <c r="I146" s="8">
        <v>31.0</v>
      </c>
      <c r="J146" s="8">
        <v>121.11</v>
      </c>
      <c r="K146" s="8">
        <v>21.04</v>
      </c>
      <c r="O146" s="14" t="str">
        <f t="shared" si="1"/>
        <v>West</v>
      </c>
      <c r="P146" s="14" t="str">
        <f t="shared" si="2"/>
        <v>Clothing</v>
      </c>
    </row>
    <row r="147">
      <c r="B147" s="6" t="s">
        <v>183</v>
      </c>
      <c r="C147" s="6" t="s">
        <v>26</v>
      </c>
      <c r="D147" s="6" t="s">
        <v>21</v>
      </c>
      <c r="E147" s="6" t="s">
        <v>55</v>
      </c>
      <c r="F147" s="6" t="s">
        <v>28</v>
      </c>
      <c r="G147" s="6" t="s">
        <v>18</v>
      </c>
      <c r="H147" s="7">
        <v>45068.0</v>
      </c>
      <c r="I147" s="8">
        <v>483.0</v>
      </c>
      <c r="J147" s="8">
        <v>481.86</v>
      </c>
      <c r="K147" s="8">
        <v>17.13</v>
      </c>
      <c r="O147" s="14" t="str">
        <f t="shared" si="1"/>
        <v>North</v>
      </c>
      <c r="P147" s="14" t="str">
        <f t="shared" si="2"/>
        <v>Electronics</v>
      </c>
    </row>
    <row r="148">
      <c r="B148" s="6" t="s">
        <v>184</v>
      </c>
      <c r="C148" s="6" t="s">
        <v>20</v>
      </c>
      <c r="D148" s="6" t="s">
        <v>63</v>
      </c>
      <c r="E148" s="6" t="s">
        <v>55</v>
      </c>
      <c r="F148" s="6" t="s">
        <v>28</v>
      </c>
      <c r="G148" s="6" t="s">
        <v>23</v>
      </c>
      <c r="H148" s="7">
        <v>45069.0</v>
      </c>
      <c r="I148" s="8">
        <v>129.0</v>
      </c>
      <c r="J148" s="8">
        <v>131.38</v>
      </c>
      <c r="K148" s="8">
        <v>298.99</v>
      </c>
      <c r="O148" s="14" t="str">
        <f t="shared" si="1"/>
        <v>West</v>
      </c>
      <c r="P148" s="14" t="str">
        <f t="shared" si="2"/>
        <v>Electronics</v>
      </c>
    </row>
    <row r="149">
      <c r="B149" s="6" t="s">
        <v>185</v>
      </c>
      <c r="C149" s="6" t="s">
        <v>20</v>
      </c>
      <c r="D149" s="6" t="s">
        <v>15</v>
      </c>
      <c r="E149" s="6" t="s">
        <v>16</v>
      </c>
      <c r="F149" s="6" t="s">
        <v>17</v>
      </c>
      <c r="G149" s="6" t="s">
        <v>33</v>
      </c>
      <c r="H149" s="7">
        <v>45070.0</v>
      </c>
      <c r="I149" s="8">
        <v>219.0</v>
      </c>
      <c r="J149" s="8">
        <v>332.51</v>
      </c>
      <c r="K149" s="8">
        <v>264.3</v>
      </c>
      <c r="O149" s="14" t="str">
        <f t="shared" si="1"/>
        <v>West</v>
      </c>
      <c r="P149" s="14" t="str">
        <f t="shared" si="2"/>
        <v>Beverages</v>
      </c>
    </row>
    <row r="150">
      <c r="B150" s="6" t="s">
        <v>186</v>
      </c>
      <c r="C150" s="6" t="s">
        <v>20</v>
      </c>
      <c r="D150" s="6" t="s">
        <v>15</v>
      </c>
      <c r="E150" s="6" t="s">
        <v>16</v>
      </c>
      <c r="F150" s="6" t="s">
        <v>28</v>
      </c>
      <c r="G150" s="6" t="s">
        <v>33</v>
      </c>
      <c r="H150" s="7">
        <v>45071.0</v>
      </c>
      <c r="I150" s="8">
        <v>315.0</v>
      </c>
      <c r="J150" s="8">
        <v>489.42</v>
      </c>
      <c r="K150" s="8">
        <v>321.25</v>
      </c>
      <c r="O150" s="14" t="str">
        <f t="shared" si="1"/>
        <v>West</v>
      </c>
      <c r="P150" s="14" t="str">
        <f t="shared" si="2"/>
        <v>Beverages</v>
      </c>
    </row>
    <row r="151">
      <c r="B151" s="6" t="s">
        <v>187</v>
      </c>
      <c r="C151" s="6" t="s">
        <v>14</v>
      </c>
      <c r="D151" s="6" t="s">
        <v>15</v>
      </c>
      <c r="E151" s="6" t="s">
        <v>32</v>
      </c>
      <c r="F151" s="6" t="s">
        <v>17</v>
      </c>
      <c r="G151" s="6" t="s">
        <v>33</v>
      </c>
      <c r="H151" s="7">
        <v>45072.0</v>
      </c>
      <c r="I151" s="8">
        <v>279.0</v>
      </c>
      <c r="J151" s="8">
        <v>190.28</v>
      </c>
      <c r="K151" s="8">
        <v>43.94</v>
      </c>
      <c r="O151" s="14" t="str">
        <f t="shared" si="1"/>
        <v>East</v>
      </c>
      <c r="P151" s="14" t="str">
        <f t="shared" si="2"/>
        <v>Furniture</v>
      </c>
    </row>
    <row r="152">
      <c r="B152" s="6" t="s">
        <v>188</v>
      </c>
      <c r="C152" s="6" t="s">
        <v>14</v>
      </c>
      <c r="D152" s="6" t="s">
        <v>63</v>
      </c>
      <c r="E152" s="6" t="s">
        <v>27</v>
      </c>
      <c r="F152" s="6" t="s">
        <v>28</v>
      </c>
      <c r="G152" s="6" t="s">
        <v>23</v>
      </c>
      <c r="H152" s="7">
        <v>45073.0</v>
      </c>
      <c r="I152" s="8">
        <v>201.0</v>
      </c>
      <c r="J152" s="8">
        <v>13.67</v>
      </c>
      <c r="K152" s="8">
        <v>16.16</v>
      </c>
      <c r="O152" s="14" t="str">
        <f t="shared" si="1"/>
        <v>East</v>
      </c>
      <c r="P152" s="14" t="str">
        <f t="shared" si="2"/>
        <v>Clothing</v>
      </c>
    </row>
    <row r="153">
      <c r="B153" s="6" t="s">
        <v>189</v>
      </c>
      <c r="C153" s="6" t="s">
        <v>14</v>
      </c>
      <c r="D153" s="6" t="s">
        <v>15</v>
      </c>
      <c r="E153" s="6" t="s">
        <v>27</v>
      </c>
      <c r="F153" s="6" t="s">
        <v>17</v>
      </c>
      <c r="G153" s="6" t="s">
        <v>18</v>
      </c>
      <c r="H153" s="7">
        <v>45074.0</v>
      </c>
      <c r="I153" s="8">
        <v>184.0</v>
      </c>
      <c r="J153" s="8">
        <v>125.85</v>
      </c>
      <c r="K153" s="8">
        <v>204.41</v>
      </c>
      <c r="O153" s="14" t="str">
        <f t="shared" si="1"/>
        <v>East</v>
      </c>
      <c r="P153" s="14" t="str">
        <f t="shared" si="2"/>
        <v>Clothing</v>
      </c>
    </row>
    <row r="154">
      <c r="B154" s="6" t="s">
        <v>190</v>
      </c>
      <c r="C154" s="6" t="s">
        <v>26</v>
      </c>
      <c r="D154" s="6" t="s">
        <v>63</v>
      </c>
      <c r="E154" s="6" t="s">
        <v>22</v>
      </c>
      <c r="F154" s="6" t="s">
        <v>28</v>
      </c>
      <c r="G154" s="6" t="s">
        <v>23</v>
      </c>
      <c r="H154" s="7">
        <v>45075.0</v>
      </c>
      <c r="I154" s="8">
        <v>294.0</v>
      </c>
      <c r="J154" s="8">
        <v>416.28</v>
      </c>
      <c r="K154" s="8">
        <v>156.26</v>
      </c>
      <c r="O154" s="14" t="str">
        <f t="shared" si="1"/>
        <v>North</v>
      </c>
      <c r="P154" s="14" t="str">
        <f t="shared" si="2"/>
        <v>Food</v>
      </c>
    </row>
    <row r="155">
      <c r="B155" s="6" t="s">
        <v>191</v>
      </c>
      <c r="C155" s="6" t="s">
        <v>20</v>
      </c>
      <c r="D155" s="6" t="s">
        <v>15</v>
      </c>
      <c r="E155" s="6" t="s">
        <v>32</v>
      </c>
      <c r="F155" s="6" t="s">
        <v>17</v>
      </c>
      <c r="G155" s="6" t="s">
        <v>23</v>
      </c>
      <c r="H155" s="7">
        <v>45076.0</v>
      </c>
      <c r="I155" s="8">
        <v>213.0</v>
      </c>
      <c r="J155" s="8">
        <v>432.98</v>
      </c>
      <c r="K155" s="8">
        <v>185.85</v>
      </c>
      <c r="O155" s="14" t="str">
        <f t="shared" si="1"/>
        <v>West</v>
      </c>
      <c r="P155" s="14" t="str">
        <f t="shared" si="2"/>
        <v>Furniture</v>
      </c>
    </row>
    <row r="156">
      <c r="B156" s="6" t="s">
        <v>192</v>
      </c>
      <c r="C156" s="6" t="s">
        <v>14</v>
      </c>
      <c r="D156" s="6" t="s">
        <v>39</v>
      </c>
      <c r="E156" s="6" t="s">
        <v>32</v>
      </c>
      <c r="F156" s="6" t="s">
        <v>28</v>
      </c>
      <c r="G156" s="6" t="s">
        <v>18</v>
      </c>
      <c r="H156" s="7">
        <v>45077.0</v>
      </c>
      <c r="I156" s="8">
        <v>173.0</v>
      </c>
      <c r="J156" s="8">
        <v>385.42</v>
      </c>
      <c r="K156" s="8">
        <v>396.65</v>
      </c>
      <c r="O156" s="14" t="str">
        <f t="shared" si="1"/>
        <v>East</v>
      </c>
      <c r="P156" s="14" t="str">
        <f t="shared" si="2"/>
        <v>Furniture</v>
      </c>
    </row>
    <row r="157">
      <c r="B157" s="6" t="s">
        <v>193</v>
      </c>
      <c r="C157" s="6" t="s">
        <v>14</v>
      </c>
      <c r="D157" s="6" t="s">
        <v>15</v>
      </c>
      <c r="E157" s="6" t="s">
        <v>32</v>
      </c>
      <c r="F157" s="6" t="s">
        <v>17</v>
      </c>
      <c r="G157" s="6" t="s">
        <v>18</v>
      </c>
      <c r="H157" s="7">
        <v>45078.0</v>
      </c>
      <c r="I157" s="8">
        <v>260.0</v>
      </c>
      <c r="J157" s="8">
        <v>60.99</v>
      </c>
      <c r="K157" s="8">
        <v>388.36</v>
      </c>
      <c r="O157" s="14" t="str">
        <f t="shared" si="1"/>
        <v>East</v>
      </c>
      <c r="P157" s="14" t="str">
        <f t="shared" si="2"/>
        <v>Furniture</v>
      </c>
    </row>
    <row r="158">
      <c r="B158" s="6" t="s">
        <v>194</v>
      </c>
      <c r="C158" s="6" t="s">
        <v>26</v>
      </c>
      <c r="D158" s="6" t="s">
        <v>63</v>
      </c>
      <c r="E158" s="6" t="s">
        <v>32</v>
      </c>
      <c r="F158" s="6" t="s">
        <v>28</v>
      </c>
      <c r="G158" s="6" t="s">
        <v>18</v>
      </c>
      <c r="H158" s="7">
        <v>45079.0</v>
      </c>
      <c r="I158" s="8">
        <v>236.0</v>
      </c>
      <c r="J158" s="8">
        <v>398.78</v>
      </c>
      <c r="K158" s="8">
        <v>377.04</v>
      </c>
      <c r="O158" s="14" t="str">
        <f t="shared" si="1"/>
        <v>North</v>
      </c>
      <c r="P158" s="14" t="str">
        <f t="shared" si="2"/>
        <v>Furniture</v>
      </c>
    </row>
    <row r="159">
      <c r="B159" s="6" t="s">
        <v>195</v>
      </c>
      <c r="C159" s="6" t="s">
        <v>14</v>
      </c>
      <c r="D159" s="6" t="s">
        <v>31</v>
      </c>
      <c r="E159" s="6" t="s">
        <v>27</v>
      </c>
      <c r="F159" s="6" t="s">
        <v>17</v>
      </c>
      <c r="G159" s="6" t="s">
        <v>33</v>
      </c>
      <c r="H159" s="7">
        <v>45080.0</v>
      </c>
      <c r="I159" s="8">
        <v>445.0</v>
      </c>
      <c r="J159" s="8">
        <v>459.75</v>
      </c>
      <c r="K159" s="8">
        <v>313.97</v>
      </c>
      <c r="O159" s="14" t="str">
        <f t="shared" si="1"/>
        <v>East</v>
      </c>
      <c r="P159" s="14" t="str">
        <f t="shared" si="2"/>
        <v>Clothing</v>
      </c>
    </row>
    <row r="160">
      <c r="B160" s="6" t="s">
        <v>196</v>
      </c>
      <c r="C160" s="6" t="s">
        <v>26</v>
      </c>
      <c r="D160" s="6" t="s">
        <v>15</v>
      </c>
      <c r="E160" s="6" t="s">
        <v>27</v>
      </c>
      <c r="F160" s="6" t="s">
        <v>28</v>
      </c>
      <c r="G160" s="6" t="s">
        <v>18</v>
      </c>
      <c r="H160" s="7">
        <v>45081.0</v>
      </c>
      <c r="I160" s="8">
        <v>390.0</v>
      </c>
      <c r="J160" s="8">
        <v>302.3</v>
      </c>
      <c r="K160" s="8">
        <v>143.23</v>
      </c>
      <c r="O160" s="14" t="str">
        <f t="shared" si="1"/>
        <v>North</v>
      </c>
      <c r="P160" s="14" t="str">
        <f t="shared" si="2"/>
        <v>Clothing</v>
      </c>
    </row>
    <row r="161">
      <c r="B161" s="6" t="s">
        <v>197</v>
      </c>
      <c r="C161" s="6" t="s">
        <v>61</v>
      </c>
      <c r="D161" s="6" t="s">
        <v>31</v>
      </c>
      <c r="E161" s="6" t="s">
        <v>32</v>
      </c>
      <c r="F161" s="6" t="s">
        <v>17</v>
      </c>
      <c r="G161" s="6" t="s">
        <v>23</v>
      </c>
      <c r="H161" s="7">
        <v>45082.0</v>
      </c>
      <c r="I161" s="8">
        <v>469.0</v>
      </c>
      <c r="J161" s="8">
        <v>470.73</v>
      </c>
      <c r="K161" s="8">
        <v>166.03</v>
      </c>
      <c r="O161" s="14" t="str">
        <f t="shared" si="1"/>
        <v>South</v>
      </c>
      <c r="P161" s="14" t="str">
        <f t="shared" si="2"/>
        <v>Furniture</v>
      </c>
    </row>
    <row r="162">
      <c r="B162" s="6" t="s">
        <v>198</v>
      </c>
      <c r="C162" s="6" t="s">
        <v>14</v>
      </c>
      <c r="D162" s="6" t="s">
        <v>39</v>
      </c>
      <c r="E162" s="6" t="s">
        <v>22</v>
      </c>
      <c r="F162" s="6" t="s">
        <v>17</v>
      </c>
      <c r="G162" s="6" t="s">
        <v>18</v>
      </c>
      <c r="H162" s="7">
        <v>45083.0</v>
      </c>
      <c r="I162" s="8">
        <v>16.0</v>
      </c>
      <c r="J162" s="6"/>
      <c r="K162" s="8">
        <v>220.75</v>
      </c>
      <c r="O162" s="14" t="str">
        <f t="shared" si="1"/>
        <v>East</v>
      </c>
      <c r="P162" s="14" t="str">
        <f t="shared" si="2"/>
        <v>Food</v>
      </c>
    </row>
    <row r="163">
      <c r="B163" s="6" t="s">
        <v>199</v>
      </c>
      <c r="C163" s="6" t="s">
        <v>61</v>
      </c>
      <c r="D163" s="6" t="s">
        <v>21</v>
      </c>
      <c r="E163" s="6" t="s">
        <v>55</v>
      </c>
      <c r="F163" s="6" t="s">
        <v>28</v>
      </c>
      <c r="G163" s="6" t="s">
        <v>23</v>
      </c>
      <c r="H163" s="7">
        <v>45084.0</v>
      </c>
      <c r="I163" s="8">
        <v>38.0</v>
      </c>
      <c r="J163" s="8">
        <v>335.15</v>
      </c>
      <c r="K163" s="8">
        <v>332.55</v>
      </c>
      <c r="O163" s="14" t="str">
        <f t="shared" si="1"/>
        <v>South</v>
      </c>
      <c r="P163" s="14" t="str">
        <f t="shared" si="2"/>
        <v>Electronics</v>
      </c>
    </row>
    <row r="164">
      <c r="B164" s="6" t="s">
        <v>200</v>
      </c>
      <c r="C164" s="6" t="s">
        <v>26</v>
      </c>
      <c r="D164" s="6" t="s">
        <v>39</v>
      </c>
      <c r="E164" s="6"/>
      <c r="F164" s="6" t="s">
        <v>28</v>
      </c>
      <c r="G164" s="6" t="s">
        <v>33</v>
      </c>
      <c r="H164" s="7">
        <v>45085.0</v>
      </c>
      <c r="I164" s="8">
        <v>404.0</v>
      </c>
      <c r="J164" s="8">
        <v>290.71</v>
      </c>
      <c r="K164" s="8">
        <v>29.35</v>
      </c>
      <c r="O164" s="14" t="str">
        <f t="shared" si="1"/>
        <v>North</v>
      </c>
      <c r="P164" s="14" t="str">
        <f t="shared" si="2"/>
        <v>Beverages</v>
      </c>
    </row>
    <row r="165">
      <c r="B165" s="6" t="s">
        <v>201</v>
      </c>
      <c r="C165" s="6" t="s">
        <v>20</v>
      </c>
      <c r="D165" s="6" t="s">
        <v>15</v>
      </c>
      <c r="E165" s="6" t="s">
        <v>22</v>
      </c>
      <c r="F165" s="6" t="s">
        <v>17</v>
      </c>
      <c r="G165" s="6" t="s">
        <v>23</v>
      </c>
      <c r="H165" s="7">
        <v>45086.0</v>
      </c>
      <c r="I165" s="8">
        <v>42.0</v>
      </c>
      <c r="J165" s="8">
        <v>177.54</v>
      </c>
      <c r="K165" s="8">
        <v>170.87</v>
      </c>
      <c r="O165" s="14" t="str">
        <f t="shared" si="1"/>
        <v>West</v>
      </c>
      <c r="P165" s="14" t="str">
        <f t="shared" si="2"/>
        <v>Food</v>
      </c>
    </row>
    <row r="166">
      <c r="B166" s="6" t="s">
        <v>202</v>
      </c>
      <c r="C166" s="6" t="s">
        <v>14</v>
      </c>
      <c r="D166" s="6" t="s">
        <v>31</v>
      </c>
      <c r="E166" s="6" t="s">
        <v>32</v>
      </c>
      <c r="F166" s="6" t="s">
        <v>28</v>
      </c>
      <c r="G166" s="6" t="s">
        <v>23</v>
      </c>
      <c r="H166" s="7">
        <v>45087.0</v>
      </c>
      <c r="I166" s="8">
        <v>143.0</v>
      </c>
      <c r="J166" s="8">
        <v>83.85</v>
      </c>
      <c r="K166" s="8">
        <v>34.88</v>
      </c>
      <c r="O166" s="14" t="str">
        <f t="shared" si="1"/>
        <v>East</v>
      </c>
      <c r="P166" s="14" t="str">
        <f t="shared" si="2"/>
        <v>Furniture</v>
      </c>
    </row>
    <row r="167">
      <c r="B167" s="6" t="s">
        <v>203</v>
      </c>
      <c r="C167" s="6" t="s">
        <v>26</v>
      </c>
      <c r="D167" s="6" t="s">
        <v>31</v>
      </c>
      <c r="E167" s="6" t="s">
        <v>27</v>
      </c>
      <c r="F167" s="6" t="s">
        <v>17</v>
      </c>
      <c r="G167" s="6" t="s">
        <v>18</v>
      </c>
      <c r="H167" s="7">
        <v>45088.0</v>
      </c>
      <c r="I167" s="8">
        <v>376.0</v>
      </c>
      <c r="J167" s="8">
        <v>304.45</v>
      </c>
      <c r="K167" s="8">
        <v>206.83</v>
      </c>
      <c r="O167" s="14" t="str">
        <f t="shared" si="1"/>
        <v>North</v>
      </c>
      <c r="P167" s="14" t="str">
        <f t="shared" si="2"/>
        <v>Clothing</v>
      </c>
    </row>
    <row r="168">
      <c r="B168" s="6" t="s">
        <v>204</v>
      </c>
      <c r="C168" s="6" t="s">
        <v>20</v>
      </c>
      <c r="D168" s="6" t="s">
        <v>63</v>
      </c>
      <c r="E168" s="6" t="s">
        <v>55</v>
      </c>
      <c r="F168" s="6" t="s">
        <v>17</v>
      </c>
      <c r="G168" s="6" t="s">
        <v>18</v>
      </c>
      <c r="H168" s="7">
        <v>45089.0</v>
      </c>
      <c r="I168" s="8">
        <v>88.0</v>
      </c>
      <c r="J168" s="8">
        <v>162.47</v>
      </c>
      <c r="K168" s="8">
        <v>359.76</v>
      </c>
      <c r="O168" s="14" t="str">
        <f t="shared" si="1"/>
        <v>West</v>
      </c>
      <c r="P168" s="14" t="str">
        <f t="shared" si="2"/>
        <v>Electronics</v>
      </c>
    </row>
    <row r="169">
      <c r="B169" s="6" t="s">
        <v>205</v>
      </c>
      <c r="C169" s="6" t="s">
        <v>20</v>
      </c>
      <c r="D169" s="6" t="s">
        <v>31</v>
      </c>
      <c r="E169" s="6" t="s">
        <v>16</v>
      </c>
      <c r="F169" s="6" t="s">
        <v>17</v>
      </c>
      <c r="G169" s="6" t="s">
        <v>23</v>
      </c>
      <c r="H169" s="7">
        <v>45090.0</v>
      </c>
      <c r="I169" s="8">
        <v>425.0</v>
      </c>
      <c r="J169" s="8">
        <v>433.89</v>
      </c>
      <c r="K169" s="8">
        <v>313.43</v>
      </c>
      <c r="O169" s="14" t="str">
        <f t="shared" si="1"/>
        <v>West</v>
      </c>
      <c r="P169" s="14" t="str">
        <f t="shared" si="2"/>
        <v>Beverages</v>
      </c>
    </row>
    <row r="170">
      <c r="B170" s="6" t="s">
        <v>206</v>
      </c>
      <c r="C170" s="6" t="s">
        <v>61</v>
      </c>
      <c r="D170" s="6" t="s">
        <v>63</v>
      </c>
      <c r="E170" s="6" t="s">
        <v>16</v>
      </c>
      <c r="F170" s="6" t="s">
        <v>28</v>
      </c>
      <c r="G170" s="6" t="s">
        <v>18</v>
      </c>
      <c r="H170" s="7">
        <v>45091.0</v>
      </c>
      <c r="I170" s="8">
        <v>444.0</v>
      </c>
      <c r="J170" s="8">
        <v>496.7</v>
      </c>
      <c r="K170" s="8">
        <v>92.68</v>
      </c>
      <c r="O170" s="14" t="str">
        <f t="shared" si="1"/>
        <v>South</v>
      </c>
      <c r="P170" s="14" t="str">
        <f t="shared" si="2"/>
        <v>Beverages</v>
      </c>
    </row>
    <row r="171">
      <c r="B171" s="6" t="s">
        <v>207</v>
      </c>
      <c r="C171" s="6" t="s">
        <v>26</v>
      </c>
      <c r="D171" s="6" t="s">
        <v>21</v>
      </c>
      <c r="E171" s="6" t="s">
        <v>22</v>
      </c>
      <c r="F171" s="6" t="s">
        <v>17</v>
      </c>
      <c r="G171" s="6" t="s">
        <v>33</v>
      </c>
      <c r="H171" s="7">
        <v>45092.0</v>
      </c>
      <c r="I171" s="8">
        <v>468.0</v>
      </c>
      <c r="J171" s="8">
        <v>377.45</v>
      </c>
      <c r="K171" s="8">
        <v>390.44</v>
      </c>
      <c r="O171" s="14" t="str">
        <f t="shared" si="1"/>
        <v>North</v>
      </c>
      <c r="P171" s="14" t="str">
        <f t="shared" si="2"/>
        <v>Food</v>
      </c>
    </row>
    <row r="172">
      <c r="B172" s="6" t="s">
        <v>208</v>
      </c>
      <c r="C172" s="6" t="s">
        <v>20</v>
      </c>
      <c r="D172" s="6" t="s">
        <v>15</v>
      </c>
      <c r="E172" s="6" t="s">
        <v>32</v>
      </c>
      <c r="F172" s="6" t="s">
        <v>17</v>
      </c>
      <c r="G172" s="6" t="s">
        <v>33</v>
      </c>
      <c r="H172" s="7">
        <v>45093.0</v>
      </c>
      <c r="I172" s="8">
        <v>67.0</v>
      </c>
      <c r="J172" s="8">
        <v>49.79</v>
      </c>
      <c r="K172" s="8">
        <v>267.61</v>
      </c>
      <c r="O172" s="14" t="str">
        <f t="shared" si="1"/>
        <v>West</v>
      </c>
      <c r="P172" s="14" t="str">
        <f t="shared" si="2"/>
        <v>Furniture</v>
      </c>
    </row>
    <row r="173">
      <c r="B173" s="6" t="s">
        <v>209</v>
      </c>
      <c r="C173" s="6" t="s">
        <v>14</v>
      </c>
      <c r="D173" s="6" t="s">
        <v>63</v>
      </c>
      <c r="E173" s="6" t="s">
        <v>55</v>
      </c>
      <c r="F173" s="6" t="s">
        <v>28</v>
      </c>
      <c r="G173" s="6" t="s">
        <v>18</v>
      </c>
      <c r="H173" s="7">
        <v>45094.0</v>
      </c>
      <c r="I173" s="8">
        <v>480.0</v>
      </c>
      <c r="J173" s="8">
        <v>147.9</v>
      </c>
      <c r="K173" s="8">
        <v>6.15</v>
      </c>
      <c r="O173" s="14" t="str">
        <f t="shared" si="1"/>
        <v>East</v>
      </c>
      <c r="P173" s="14" t="str">
        <f t="shared" si="2"/>
        <v>Electronics</v>
      </c>
    </row>
    <row r="174">
      <c r="B174" s="6" t="s">
        <v>210</v>
      </c>
      <c r="C174" s="6" t="s">
        <v>14</v>
      </c>
      <c r="D174" s="6" t="s">
        <v>21</v>
      </c>
      <c r="E174" s="6" t="s">
        <v>32</v>
      </c>
      <c r="F174" s="6" t="s">
        <v>28</v>
      </c>
      <c r="G174" s="6" t="s">
        <v>33</v>
      </c>
      <c r="H174" s="7">
        <v>45095.0</v>
      </c>
      <c r="I174" s="8">
        <v>35.0</v>
      </c>
      <c r="J174" s="8">
        <v>59.01</v>
      </c>
      <c r="K174" s="8">
        <v>103.65</v>
      </c>
      <c r="O174" s="14" t="str">
        <f t="shared" si="1"/>
        <v>East</v>
      </c>
      <c r="P174" s="14" t="str">
        <f t="shared" si="2"/>
        <v>Furniture</v>
      </c>
    </row>
    <row r="175">
      <c r="B175" s="6" t="s">
        <v>211</v>
      </c>
      <c r="C175" s="6" t="s">
        <v>61</v>
      </c>
      <c r="D175" s="6" t="s">
        <v>31</v>
      </c>
      <c r="E175" s="6" t="s">
        <v>55</v>
      </c>
      <c r="F175" s="6" t="s">
        <v>28</v>
      </c>
      <c r="G175" s="6" t="s">
        <v>18</v>
      </c>
      <c r="H175" s="7">
        <v>45096.0</v>
      </c>
      <c r="I175" s="8">
        <v>491.0</v>
      </c>
      <c r="J175" s="8">
        <v>327.0</v>
      </c>
      <c r="K175" s="8">
        <v>105.76</v>
      </c>
      <c r="O175" s="14" t="str">
        <f t="shared" si="1"/>
        <v>South</v>
      </c>
      <c r="P175" s="14" t="str">
        <f t="shared" si="2"/>
        <v>Electronics</v>
      </c>
    </row>
    <row r="176">
      <c r="B176" s="6" t="s">
        <v>212</v>
      </c>
      <c r="C176" s="6" t="s">
        <v>20</v>
      </c>
      <c r="D176" s="6" t="s">
        <v>31</v>
      </c>
      <c r="E176" s="6" t="s">
        <v>22</v>
      </c>
      <c r="F176" s="6" t="s">
        <v>28</v>
      </c>
      <c r="G176" s="6" t="s">
        <v>23</v>
      </c>
      <c r="H176" s="7">
        <v>45097.0</v>
      </c>
      <c r="I176" s="8">
        <v>439.0</v>
      </c>
      <c r="J176" s="8">
        <v>383.77</v>
      </c>
      <c r="K176" s="8">
        <v>29.56</v>
      </c>
      <c r="O176" s="14" t="str">
        <f t="shared" si="1"/>
        <v>West</v>
      </c>
      <c r="P176" s="14" t="str">
        <f t="shared" si="2"/>
        <v>Food</v>
      </c>
    </row>
    <row r="177">
      <c r="B177" s="6" t="s">
        <v>213</v>
      </c>
      <c r="C177" s="6" t="s">
        <v>26</v>
      </c>
      <c r="D177" s="6" t="s">
        <v>21</v>
      </c>
      <c r="E177" s="6" t="s">
        <v>22</v>
      </c>
      <c r="F177" s="6" t="s">
        <v>17</v>
      </c>
      <c r="G177" s="6" t="s">
        <v>23</v>
      </c>
      <c r="H177" s="7">
        <v>45098.0</v>
      </c>
      <c r="I177" s="8">
        <v>235.0</v>
      </c>
      <c r="J177" s="8">
        <v>463.21</v>
      </c>
      <c r="K177" s="8">
        <v>384.01</v>
      </c>
      <c r="O177" s="14" t="str">
        <f t="shared" si="1"/>
        <v>North</v>
      </c>
      <c r="P177" s="14" t="str">
        <f t="shared" si="2"/>
        <v>Food</v>
      </c>
    </row>
    <row r="178">
      <c r="B178" s="6" t="s">
        <v>214</v>
      </c>
      <c r="C178" s="6" t="s">
        <v>14</v>
      </c>
      <c r="D178" s="6" t="s">
        <v>31</v>
      </c>
      <c r="E178" s="6" t="s">
        <v>16</v>
      </c>
      <c r="F178" s="6" t="s">
        <v>17</v>
      </c>
      <c r="G178" s="6" t="s">
        <v>33</v>
      </c>
      <c r="H178" s="7">
        <v>45099.0</v>
      </c>
      <c r="I178" s="8">
        <v>294.0</v>
      </c>
      <c r="J178" s="8">
        <v>221.9</v>
      </c>
      <c r="K178" s="8">
        <v>192.35</v>
      </c>
      <c r="O178" s="14" t="str">
        <f t="shared" si="1"/>
        <v>East</v>
      </c>
      <c r="P178" s="14" t="str">
        <f t="shared" si="2"/>
        <v>Beverages</v>
      </c>
    </row>
    <row r="179">
      <c r="B179" s="6" t="s">
        <v>215</v>
      </c>
      <c r="C179" s="6" t="s">
        <v>20</v>
      </c>
      <c r="D179" s="6" t="s">
        <v>21</v>
      </c>
      <c r="E179" s="6" t="s">
        <v>32</v>
      </c>
      <c r="F179" s="6" t="s">
        <v>17</v>
      </c>
      <c r="G179" s="6" t="s">
        <v>18</v>
      </c>
      <c r="H179" s="7">
        <v>45100.0</v>
      </c>
      <c r="I179" s="8">
        <v>13.0</v>
      </c>
      <c r="J179" s="8">
        <v>451.18</v>
      </c>
      <c r="K179" s="8">
        <v>358.53</v>
      </c>
      <c r="O179" s="14" t="str">
        <f t="shared" si="1"/>
        <v>West</v>
      </c>
      <c r="P179" s="14" t="str">
        <f t="shared" si="2"/>
        <v>Furniture</v>
      </c>
    </row>
    <row r="180">
      <c r="B180" s="6" t="s">
        <v>216</v>
      </c>
      <c r="C180" s="6" t="s">
        <v>20</v>
      </c>
      <c r="D180" s="6" t="s">
        <v>63</v>
      </c>
      <c r="E180" s="6" t="s">
        <v>16</v>
      </c>
      <c r="F180" s="6" t="s">
        <v>17</v>
      </c>
      <c r="G180" s="6" t="s">
        <v>18</v>
      </c>
      <c r="H180" s="7">
        <v>45101.0</v>
      </c>
      <c r="I180" s="8">
        <v>474.0</v>
      </c>
      <c r="J180" s="8">
        <v>439.56</v>
      </c>
      <c r="K180" s="8">
        <v>130.24</v>
      </c>
      <c r="O180" s="14" t="str">
        <f t="shared" si="1"/>
        <v>West</v>
      </c>
      <c r="P180" s="14" t="str">
        <f t="shared" si="2"/>
        <v>Beverages</v>
      </c>
    </row>
    <row r="181">
      <c r="B181" s="6" t="s">
        <v>217</v>
      </c>
      <c r="C181" s="6" t="s">
        <v>61</v>
      </c>
      <c r="D181" s="6" t="s">
        <v>63</v>
      </c>
      <c r="E181" s="6" t="s">
        <v>32</v>
      </c>
      <c r="F181" s="6" t="s">
        <v>28</v>
      </c>
      <c r="G181" s="6" t="s">
        <v>33</v>
      </c>
      <c r="H181" s="7">
        <v>45102.0</v>
      </c>
      <c r="I181" s="8">
        <v>108.0</v>
      </c>
      <c r="J181" s="8">
        <v>162.01</v>
      </c>
      <c r="K181" s="8">
        <v>51.84</v>
      </c>
      <c r="O181" s="14" t="str">
        <f t="shared" si="1"/>
        <v>South</v>
      </c>
      <c r="P181" s="14" t="str">
        <f t="shared" si="2"/>
        <v>Furniture</v>
      </c>
    </row>
    <row r="182">
      <c r="B182" s="6" t="s">
        <v>218</v>
      </c>
      <c r="C182" s="6" t="s">
        <v>14</v>
      </c>
      <c r="D182" s="6" t="s">
        <v>21</v>
      </c>
      <c r="E182" s="6" t="s">
        <v>16</v>
      </c>
      <c r="F182" s="6" t="s">
        <v>17</v>
      </c>
      <c r="G182" s="6" t="s">
        <v>23</v>
      </c>
      <c r="H182" s="7">
        <v>45103.0</v>
      </c>
      <c r="I182" s="8">
        <v>406.0</v>
      </c>
      <c r="J182" s="8">
        <v>435.11</v>
      </c>
      <c r="K182" s="8">
        <v>190.79</v>
      </c>
      <c r="O182" s="14" t="str">
        <f t="shared" si="1"/>
        <v>East</v>
      </c>
      <c r="P182" s="14" t="str">
        <f t="shared" si="2"/>
        <v>Beverages</v>
      </c>
    </row>
    <row r="183">
      <c r="B183" s="6" t="s">
        <v>219</v>
      </c>
      <c r="C183" s="6" t="s">
        <v>14</v>
      </c>
      <c r="D183" s="6" t="s">
        <v>63</v>
      </c>
      <c r="E183" s="6" t="s">
        <v>27</v>
      </c>
      <c r="F183" s="6" t="s">
        <v>17</v>
      </c>
      <c r="G183" s="6" t="s">
        <v>33</v>
      </c>
      <c r="H183" s="7">
        <v>45104.0</v>
      </c>
      <c r="I183" s="8">
        <v>498.0</v>
      </c>
      <c r="J183" s="8">
        <v>190.96</v>
      </c>
      <c r="K183" s="8">
        <v>47.35</v>
      </c>
      <c r="O183" s="14" t="str">
        <f t="shared" si="1"/>
        <v>East</v>
      </c>
      <c r="P183" s="14" t="str">
        <f t="shared" si="2"/>
        <v>Clothing</v>
      </c>
    </row>
    <row r="184">
      <c r="B184" s="6" t="s">
        <v>220</v>
      </c>
      <c r="C184" s="6" t="s">
        <v>26</v>
      </c>
      <c r="D184" s="6" t="s">
        <v>63</v>
      </c>
      <c r="E184" s="6" t="s">
        <v>27</v>
      </c>
      <c r="F184" s="6" t="s">
        <v>28</v>
      </c>
      <c r="G184" s="6" t="s">
        <v>23</v>
      </c>
      <c r="H184" s="7">
        <v>45105.0</v>
      </c>
      <c r="I184" s="8">
        <v>48.0</v>
      </c>
      <c r="J184" s="8">
        <v>151.95</v>
      </c>
      <c r="K184" s="8">
        <v>195.43</v>
      </c>
      <c r="O184" s="14" t="str">
        <f t="shared" si="1"/>
        <v>North</v>
      </c>
      <c r="P184" s="14" t="str">
        <f t="shared" si="2"/>
        <v>Clothing</v>
      </c>
    </row>
    <row r="185">
      <c r="B185" s="6" t="s">
        <v>221</v>
      </c>
      <c r="C185" s="6" t="s">
        <v>14</v>
      </c>
      <c r="D185" s="6" t="s">
        <v>63</v>
      </c>
      <c r="E185" s="6" t="s">
        <v>27</v>
      </c>
      <c r="F185" s="6" t="s">
        <v>17</v>
      </c>
      <c r="G185" s="6" t="s">
        <v>18</v>
      </c>
      <c r="H185" s="7">
        <v>45106.0</v>
      </c>
      <c r="I185" s="8">
        <v>280.0</v>
      </c>
      <c r="J185" s="8">
        <v>326.29</v>
      </c>
      <c r="K185" s="8">
        <v>368.28</v>
      </c>
      <c r="O185" s="14" t="str">
        <f t="shared" si="1"/>
        <v>East</v>
      </c>
      <c r="P185" s="14" t="str">
        <f t="shared" si="2"/>
        <v>Clothing</v>
      </c>
    </row>
    <row r="186">
      <c r="B186" s="6" t="s">
        <v>222</v>
      </c>
      <c r="C186" s="6" t="s">
        <v>26</v>
      </c>
      <c r="D186" s="6" t="s">
        <v>39</v>
      </c>
      <c r="E186" s="6" t="s">
        <v>27</v>
      </c>
      <c r="F186" s="6" t="s">
        <v>17</v>
      </c>
      <c r="G186" s="6" t="s">
        <v>23</v>
      </c>
      <c r="H186" s="7">
        <v>45107.0</v>
      </c>
      <c r="I186" s="8">
        <v>384.0</v>
      </c>
      <c r="J186" s="8">
        <v>167.55</v>
      </c>
      <c r="K186" s="8">
        <v>209.27</v>
      </c>
      <c r="O186" s="14" t="str">
        <f t="shared" si="1"/>
        <v>North</v>
      </c>
      <c r="P186" s="14" t="str">
        <f t="shared" si="2"/>
        <v>Clothing</v>
      </c>
    </row>
    <row r="187">
      <c r="B187" s="6" t="s">
        <v>223</v>
      </c>
      <c r="C187" s="6" t="s">
        <v>14</v>
      </c>
      <c r="D187" s="6" t="s">
        <v>15</v>
      </c>
      <c r="E187" s="6" t="s">
        <v>55</v>
      </c>
      <c r="F187" s="6" t="s">
        <v>17</v>
      </c>
      <c r="G187" s="6" t="s">
        <v>33</v>
      </c>
      <c r="H187" s="7">
        <v>45108.0</v>
      </c>
      <c r="I187" s="8">
        <v>294.0</v>
      </c>
      <c r="J187" s="8">
        <v>316.95</v>
      </c>
      <c r="K187" s="8">
        <v>247.37</v>
      </c>
      <c r="O187" s="14" t="str">
        <f t="shared" si="1"/>
        <v>East</v>
      </c>
      <c r="P187" s="14" t="str">
        <f t="shared" si="2"/>
        <v>Electronics</v>
      </c>
    </row>
    <row r="188">
      <c r="B188" s="6" t="s">
        <v>224</v>
      </c>
      <c r="C188" s="6" t="s">
        <v>61</v>
      </c>
      <c r="D188" s="6" t="s">
        <v>31</v>
      </c>
      <c r="E188" s="6" t="s">
        <v>27</v>
      </c>
      <c r="F188" s="6" t="s">
        <v>17</v>
      </c>
      <c r="G188" s="6" t="s">
        <v>18</v>
      </c>
      <c r="H188" s="7">
        <v>45109.0</v>
      </c>
      <c r="I188" s="8">
        <v>166.0</v>
      </c>
      <c r="J188" s="8">
        <v>306.87</v>
      </c>
      <c r="K188" s="8">
        <v>64.34</v>
      </c>
      <c r="O188" s="14" t="str">
        <f t="shared" si="1"/>
        <v>South</v>
      </c>
      <c r="P188" s="14" t="str">
        <f t="shared" si="2"/>
        <v>Clothing</v>
      </c>
    </row>
    <row r="189">
      <c r="B189" s="6" t="s">
        <v>225</v>
      </c>
      <c r="C189" s="6" t="s">
        <v>14</v>
      </c>
      <c r="D189" s="6" t="s">
        <v>39</v>
      </c>
      <c r="E189" s="6" t="s">
        <v>22</v>
      </c>
      <c r="F189" s="6" t="s">
        <v>17</v>
      </c>
      <c r="G189" s="6" t="s">
        <v>33</v>
      </c>
      <c r="H189" s="7">
        <v>45110.0</v>
      </c>
      <c r="I189" s="8">
        <v>84.0</v>
      </c>
      <c r="J189" s="8">
        <v>283.9</v>
      </c>
      <c r="K189" s="8">
        <v>19.41</v>
      </c>
      <c r="O189" s="14" t="str">
        <f t="shared" si="1"/>
        <v>East</v>
      </c>
      <c r="P189" s="14" t="str">
        <f t="shared" si="2"/>
        <v>Food</v>
      </c>
    </row>
    <row r="190">
      <c r="B190" s="6" t="s">
        <v>226</v>
      </c>
      <c r="C190" s="6" t="s">
        <v>26</v>
      </c>
      <c r="D190" s="6" t="s">
        <v>63</v>
      </c>
      <c r="E190" s="6" t="s">
        <v>22</v>
      </c>
      <c r="F190" s="6" t="s">
        <v>17</v>
      </c>
      <c r="G190" s="6" t="s">
        <v>33</v>
      </c>
      <c r="H190" s="7">
        <v>45111.0</v>
      </c>
      <c r="I190" s="8">
        <v>381.0</v>
      </c>
      <c r="J190" s="8">
        <v>193.31</v>
      </c>
      <c r="K190" s="8">
        <v>46.1</v>
      </c>
      <c r="O190" s="14" t="str">
        <f t="shared" si="1"/>
        <v>North</v>
      </c>
      <c r="P190" s="14" t="str">
        <f t="shared" si="2"/>
        <v>Food</v>
      </c>
    </row>
    <row r="191">
      <c r="B191" s="6" t="s">
        <v>227</v>
      </c>
      <c r="C191" s="6" t="s">
        <v>26</v>
      </c>
      <c r="D191" s="6" t="s">
        <v>21</v>
      </c>
      <c r="E191" s="6" t="s">
        <v>55</v>
      </c>
      <c r="F191" s="6" t="s">
        <v>28</v>
      </c>
      <c r="G191" s="6" t="s">
        <v>23</v>
      </c>
      <c r="H191" s="7">
        <v>45112.0</v>
      </c>
      <c r="I191" s="8">
        <v>297.0</v>
      </c>
      <c r="J191" s="8">
        <v>276.51</v>
      </c>
      <c r="K191" s="8">
        <v>240.22</v>
      </c>
      <c r="O191" s="14" t="str">
        <f t="shared" si="1"/>
        <v>North</v>
      </c>
      <c r="P191" s="14" t="str">
        <f t="shared" si="2"/>
        <v>Electronics</v>
      </c>
    </row>
    <row r="192">
      <c r="B192" s="6" t="s">
        <v>228</v>
      </c>
      <c r="C192" s="6" t="s">
        <v>61</v>
      </c>
      <c r="D192" s="6" t="s">
        <v>63</v>
      </c>
      <c r="E192" s="6" t="s">
        <v>27</v>
      </c>
      <c r="F192" s="6" t="s">
        <v>28</v>
      </c>
      <c r="G192" s="6" t="s">
        <v>33</v>
      </c>
      <c r="H192" s="7">
        <v>45113.0</v>
      </c>
      <c r="I192" s="8">
        <v>139.0</v>
      </c>
      <c r="J192" s="8">
        <v>300.26</v>
      </c>
      <c r="K192" s="8">
        <v>39.81</v>
      </c>
      <c r="O192" s="14" t="str">
        <f t="shared" si="1"/>
        <v>South</v>
      </c>
      <c r="P192" s="14" t="str">
        <f t="shared" si="2"/>
        <v>Clothing</v>
      </c>
    </row>
    <row r="193">
      <c r="B193" s="6" t="s">
        <v>229</v>
      </c>
      <c r="C193" s="6" t="s">
        <v>14</v>
      </c>
      <c r="D193" s="6" t="s">
        <v>15</v>
      </c>
      <c r="E193" s="6" t="s">
        <v>27</v>
      </c>
      <c r="F193" s="6" t="s">
        <v>17</v>
      </c>
      <c r="G193" s="6" t="s">
        <v>23</v>
      </c>
      <c r="H193" s="7">
        <v>45114.0</v>
      </c>
      <c r="I193" s="8">
        <v>184.0</v>
      </c>
      <c r="J193" s="8">
        <v>275.12</v>
      </c>
      <c r="K193" s="8">
        <v>151.65</v>
      </c>
      <c r="O193" s="14" t="str">
        <f t="shared" si="1"/>
        <v>East</v>
      </c>
      <c r="P193" s="14" t="str">
        <f t="shared" si="2"/>
        <v>Clothing</v>
      </c>
    </row>
    <row r="194">
      <c r="B194" s="6" t="s">
        <v>230</v>
      </c>
      <c r="C194" s="6" t="s">
        <v>14</v>
      </c>
      <c r="D194" s="6" t="s">
        <v>63</v>
      </c>
      <c r="E194" s="6" t="s">
        <v>27</v>
      </c>
      <c r="F194" s="6" t="s">
        <v>17</v>
      </c>
      <c r="G194" s="6" t="s">
        <v>18</v>
      </c>
      <c r="H194" s="7">
        <v>45115.0</v>
      </c>
      <c r="I194" s="8">
        <v>471.0</v>
      </c>
      <c r="J194" s="8">
        <v>224.99</v>
      </c>
      <c r="K194" s="8">
        <v>220.94</v>
      </c>
      <c r="O194" s="14" t="str">
        <f t="shared" si="1"/>
        <v>East</v>
      </c>
      <c r="P194" s="14" t="str">
        <f t="shared" si="2"/>
        <v>Clothing</v>
      </c>
    </row>
    <row r="195">
      <c r="B195" s="6" t="s">
        <v>231</v>
      </c>
      <c r="C195" s="6" t="s">
        <v>61</v>
      </c>
      <c r="D195" s="6" t="s">
        <v>21</v>
      </c>
      <c r="E195" s="6" t="s">
        <v>16</v>
      </c>
      <c r="F195" s="6" t="s">
        <v>28</v>
      </c>
      <c r="G195" s="6" t="s">
        <v>23</v>
      </c>
      <c r="H195" s="7">
        <v>45116.0</v>
      </c>
      <c r="I195" s="8">
        <v>93.0</v>
      </c>
      <c r="J195" s="8">
        <v>12.26</v>
      </c>
      <c r="K195" s="8">
        <v>156.68</v>
      </c>
      <c r="O195" s="14" t="str">
        <f t="shared" si="1"/>
        <v>South</v>
      </c>
      <c r="P195" s="14" t="str">
        <f t="shared" si="2"/>
        <v>Beverages</v>
      </c>
    </row>
    <row r="196">
      <c r="B196" s="6" t="s">
        <v>232</v>
      </c>
      <c r="C196" s="6" t="s">
        <v>14</v>
      </c>
      <c r="D196" s="6" t="s">
        <v>15</v>
      </c>
      <c r="E196" s="6" t="s">
        <v>32</v>
      </c>
      <c r="F196" s="6" t="s">
        <v>17</v>
      </c>
      <c r="G196" s="6" t="s">
        <v>18</v>
      </c>
      <c r="H196" s="7">
        <v>45117.0</v>
      </c>
      <c r="I196" s="8">
        <v>31.0</v>
      </c>
      <c r="J196" s="8">
        <v>295.6</v>
      </c>
      <c r="K196" s="8">
        <v>67.15</v>
      </c>
      <c r="O196" s="14" t="str">
        <f t="shared" si="1"/>
        <v>East</v>
      </c>
      <c r="P196" s="14" t="str">
        <f t="shared" si="2"/>
        <v>Furniture</v>
      </c>
    </row>
    <row r="197">
      <c r="B197" s="6" t="s">
        <v>233</v>
      </c>
      <c r="C197" s="6" t="s">
        <v>14</v>
      </c>
      <c r="D197" s="6" t="s">
        <v>63</v>
      </c>
      <c r="E197" s="6" t="s">
        <v>16</v>
      </c>
      <c r="F197" s="6" t="s">
        <v>17</v>
      </c>
      <c r="G197" s="6" t="s">
        <v>23</v>
      </c>
      <c r="H197" s="7">
        <v>45118.0</v>
      </c>
      <c r="I197" s="8">
        <v>468.0</v>
      </c>
      <c r="J197" s="8">
        <v>88.38</v>
      </c>
      <c r="K197" s="8">
        <v>110.97</v>
      </c>
      <c r="O197" s="14" t="str">
        <f t="shared" si="1"/>
        <v>East</v>
      </c>
      <c r="P197" s="14" t="str">
        <f t="shared" si="2"/>
        <v>Beverages</v>
      </c>
    </row>
    <row r="198">
      <c r="B198" s="6" t="s">
        <v>234</v>
      </c>
      <c r="C198" s="6" t="s">
        <v>26</v>
      </c>
      <c r="D198" s="6" t="s">
        <v>15</v>
      </c>
      <c r="E198" s="6" t="s">
        <v>32</v>
      </c>
      <c r="F198" s="6" t="s">
        <v>17</v>
      </c>
      <c r="G198" s="6" t="s">
        <v>33</v>
      </c>
      <c r="H198" s="7">
        <v>45119.0</v>
      </c>
      <c r="I198" s="8">
        <v>36.0</v>
      </c>
      <c r="J198" s="8">
        <v>323.08</v>
      </c>
      <c r="K198" s="8">
        <v>371.47</v>
      </c>
      <c r="O198" s="14" t="str">
        <f t="shared" si="1"/>
        <v>North</v>
      </c>
      <c r="P198" s="14" t="str">
        <f t="shared" si="2"/>
        <v>Furniture</v>
      </c>
    </row>
    <row r="199">
      <c r="B199" s="6" t="s">
        <v>235</v>
      </c>
      <c r="C199" s="6" t="s">
        <v>14</v>
      </c>
      <c r="D199" s="6" t="s">
        <v>31</v>
      </c>
      <c r="E199" s="6" t="s">
        <v>27</v>
      </c>
      <c r="F199" s="6" t="s">
        <v>28</v>
      </c>
      <c r="G199" s="6" t="s">
        <v>23</v>
      </c>
      <c r="H199" s="7">
        <v>45120.0</v>
      </c>
      <c r="I199" s="8">
        <v>204.0</v>
      </c>
      <c r="J199" s="8">
        <v>380.88</v>
      </c>
      <c r="K199" s="8">
        <v>271.04</v>
      </c>
      <c r="O199" s="14" t="str">
        <f t="shared" si="1"/>
        <v>East</v>
      </c>
      <c r="P199" s="14" t="str">
        <f t="shared" si="2"/>
        <v>Clothing</v>
      </c>
    </row>
    <row r="200">
      <c r="B200" s="6" t="s">
        <v>236</v>
      </c>
      <c r="C200" s="6" t="s">
        <v>14</v>
      </c>
      <c r="D200" s="6" t="s">
        <v>31</v>
      </c>
      <c r="E200" s="6" t="s">
        <v>27</v>
      </c>
      <c r="F200" s="6" t="s">
        <v>17</v>
      </c>
      <c r="G200" s="6" t="s">
        <v>23</v>
      </c>
      <c r="H200" s="7">
        <v>45121.0</v>
      </c>
      <c r="I200" s="8">
        <v>346.0</v>
      </c>
      <c r="J200" s="8">
        <v>252.72</v>
      </c>
      <c r="K200" s="8">
        <v>199.43</v>
      </c>
      <c r="O200" s="14" t="str">
        <f t="shared" si="1"/>
        <v>East</v>
      </c>
      <c r="P200" s="14" t="str">
        <f t="shared" si="2"/>
        <v>Clothing</v>
      </c>
    </row>
    <row r="201">
      <c r="B201" s="6" t="s">
        <v>237</v>
      </c>
      <c r="C201" s="6" t="s">
        <v>61</v>
      </c>
      <c r="D201" s="6" t="s">
        <v>63</v>
      </c>
      <c r="E201" s="6" t="s">
        <v>16</v>
      </c>
      <c r="F201" s="6" t="s">
        <v>28</v>
      </c>
      <c r="G201" s="6" t="s">
        <v>18</v>
      </c>
      <c r="H201" s="7">
        <v>45122.0</v>
      </c>
      <c r="I201" s="8">
        <v>391.0</v>
      </c>
      <c r="J201" s="8">
        <v>273.47</v>
      </c>
      <c r="K201" s="8">
        <v>7.06</v>
      </c>
      <c r="O201" s="14" t="str">
        <f t="shared" si="1"/>
        <v>South</v>
      </c>
      <c r="P201" s="14" t="str">
        <f t="shared" si="2"/>
        <v>Beverages</v>
      </c>
    </row>
    <row r="202">
      <c r="B202" s="6" t="s">
        <v>238</v>
      </c>
      <c r="C202" s="6" t="s">
        <v>61</v>
      </c>
      <c r="D202" s="6" t="s">
        <v>15</v>
      </c>
      <c r="E202" s="6" t="s">
        <v>16</v>
      </c>
      <c r="F202" s="6" t="s">
        <v>17</v>
      </c>
      <c r="G202" s="6" t="s">
        <v>33</v>
      </c>
      <c r="H202" s="7">
        <v>45123.0</v>
      </c>
      <c r="I202" s="8">
        <v>245.0</v>
      </c>
      <c r="J202" s="8">
        <v>475.98</v>
      </c>
      <c r="K202" s="8">
        <v>396.98</v>
      </c>
      <c r="O202" s="14" t="str">
        <f t="shared" si="1"/>
        <v>South</v>
      </c>
      <c r="P202" s="14" t="str">
        <f t="shared" si="2"/>
        <v>Beverages</v>
      </c>
    </row>
    <row r="203">
      <c r="B203" s="6" t="s">
        <v>239</v>
      </c>
      <c r="C203" s="6" t="s">
        <v>20</v>
      </c>
      <c r="D203" s="6" t="s">
        <v>21</v>
      </c>
      <c r="E203" s="6" t="s">
        <v>32</v>
      </c>
      <c r="F203" s="6" t="s">
        <v>28</v>
      </c>
      <c r="G203" s="6" t="s">
        <v>23</v>
      </c>
      <c r="H203" s="7">
        <v>45124.0</v>
      </c>
      <c r="I203" s="8">
        <v>449.0</v>
      </c>
      <c r="J203" s="8">
        <v>424.35</v>
      </c>
      <c r="K203" s="8">
        <v>269.24</v>
      </c>
      <c r="O203" s="14" t="str">
        <f t="shared" si="1"/>
        <v>West</v>
      </c>
      <c r="P203" s="14" t="str">
        <f t="shared" si="2"/>
        <v>Furniture</v>
      </c>
    </row>
    <row r="204">
      <c r="B204" s="6" t="s">
        <v>240</v>
      </c>
      <c r="C204" s="6" t="s">
        <v>26</v>
      </c>
      <c r="D204" s="6" t="s">
        <v>63</v>
      </c>
      <c r="E204" s="6" t="s">
        <v>22</v>
      </c>
      <c r="F204" s="6" t="s">
        <v>28</v>
      </c>
      <c r="G204" s="6" t="s">
        <v>33</v>
      </c>
      <c r="H204" s="7">
        <v>45125.0</v>
      </c>
      <c r="I204" s="8">
        <v>101.0</v>
      </c>
      <c r="J204" s="8">
        <v>457.55</v>
      </c>
      <c r="K204" s="8">
        <v>128.14</v>
      </c>
      <c r="O204" s="14" t="str">
        <f t="shared" si="1"/>
        <v>North</v>
      </c>
      <c r="P204" s="14" t="str">
        <f t="shared" si="2"/>
        <v>Food</v>
      </c>
    </row>
    <row r="205">
      <c r="B205" s="6" t="s">
        <v>241</v>
      </c>
      <c r="C205" s="6" t="s">
        <v>14</v>
      </c>
      <c r="D205" s="6" t="s">
        <v>31</v>
      </c>
      <c r="E205" s="6" t="s">
        <v>32</v>
      </c>
      <c r="F205" s="6" t="s">
        <v>17</v>
      </c>
      <c r="G205" s="6" t="s">
        <v>23</v>
      </c>
      <c r="H205" s="7">
        <v>45126.0</v>
      </c>
      <c r="I205" s="6"/>
      <c r="J205" s="8">
        <v>407.81</v>
      </c>
      <c r="K205" s="8">
        <v>351.95</v>
      </c>
      <c r="O205" s="14" t="str">
        <f t="shared" si="1"/>
        <v>East</v>
      </c>
      <c r="P205" s="14" t="str">
        <f t="shared" si="2"/>
        <v>Furniture</v>
      </c>
    </row>
    <row r="206">
      <c r="B206" s="6" t="s">
        <v>242</v>
      </c>
      <c r="C206" s="6" t="s">
        <v>14</v>
      </c>
      <c r="D206" s="6" t="s">
        <v>31</v>
      </c>
      <c r="E206" s="6" t="s">
        <v>16</v>
      </c>
      <c r="F206" s="6" t="s">
        <v>28</v>
      </c>
      <c r="G206" s="6" t="s">
        <v>23</v>
      </c>
      <c r="H206" s="7">
        <v>45127.0</v>
      </c>
      <c r="I206" s="8">
        <v>30.0</v>
      </c>
      <c r="J206" s="8">
        <v>58.91</v>
      </c>
      <c r="K206" s="8">
        <v>104.86</v>
      </c>
      <c r="O206" s="14" t="str">
        <f t="shared" si="1"/>
        <v>East</v>
      </c>
      <c r="P206" s="14" t="str">
        <f t="shared" si="2"/>
        <v>Beverages</v>
      </c>
    </row>
    <row r="207">
      <c r="B207" s="6" t="s">
        <v>243</v>
      </c>
      <c r="C207" s="6" t="s">
        <v>20</v>
      </c>
      <c r="D207" s="6" t="s">
        <v>63</v>
      </c>
      <c r="E207" s="6" t="s">
        <v>16</v>
      </c>
      <c r="F207" s="6" t="s">
        <v>17</v>
      </c>
      <c r="G207" s="6" t="s">
        <v>33</v>
      </c>
      <c r="H207" s="7">
        <v>45128.0</v>
      </c>
      <c r="I207" s="8">
        <v>312.0</v>
      </c>
      <c r="J207" s="8">
        <v>78.75</v>
      </c>
      <c r="K207" s="8">
        <v>218.52</v>
      </c>
      <c r="O207" s="14" t="str">
        <f t="shared" si="1"/>
        <v>West</v>
      </c>
      <c r="P207" s="14" t="str">
        <f t="shared" si="2"/>
        <v>Beverages</v>
      </c>
    </row>
    <row r="208">
      <c r="B208" s="6" t="s">
        <v>244</v>
      </c>
      <c r="C208" s="6" t="s">
        <v>14</v>
      </c>
      <c r="D208" s="6" t="s">
        <v>15</v>
      </c>
      <c r="E208" s="6" t="s">
        <v>55</v>
      </c>
      <c r="F208" s="6" t="s">
        <v>28</v>
      </c>
      <c r="G208" s="6" t="s">
        <v>23</v>
      </c>
      <c r="H208" s="7">
        <v>45129.0</v>
      </c>
      <c r="I208" s="8">
        <v>473.0</v>
      </c>
      <c r="J208" s="8">
        <v>265.68</v>
      </c>
      <c r="K208" s="8">
        <v>255.16</v>
      </c>
      <c r="O208" s="14" t="str">
        <f t="shared" si="1"/>
        <v>East</v>
      </c>
      <c r="P208" s="14" t="str">
        <f t="shared" si="2"/>
        <v>Electronics</v>
      </c>
    </row>
    <row r="209">
      <c r="B209" s="6" t="s">
        <v>245</v>
      </c>
      <c r="C209" s="6" t="s">
        <v>26</v>
      </c>
      <c r="D209" s="6" t="s">
        <v>31</v>
      </c>
      <c r="E209" s="6" t="s">
        <v>16</v>
      </c>
      <c r="F209" s="6" t="s">
        <v>17</v>
      </c>
      <c r="G209" s="6" t="s">
        <v>33</v>
      </c>
      <c r="H209" s="7">
        <v>45130.0</v>
      </c>
      <c r="I209" s="8">
        <v>366.0</v>
      </c>
      <c r="J209" s="8">
        <v>126.8</v>
      </c>
      <c r="K209" s="8">
        <v>89.98</v>
      </c>
      <c r="O209" s="14" t="str">
        <f t="shared" si="1"/>
        <v>North</v>
      </c>
      <c r="P209" s="14" t="str">
        <f t="shared" si="2"/>
        <v>Beverages</v>
      </c>
    </row>
    <row r="210">
      <c r="B210" s="6" t="s">
        <v>246</v>
      </c>
      <c r="C210" s="6" t="s">
        <v>20</v>
      </c>
      <c r="D210" s="6" t="s">
        <v>15</v>
      </c>
      <c r="E210" s="6" t="s">
        <v>55</v>
      </c>
      <c r="F210" s="6" t="s">
        <v>17</v>
      </c>
      <c r="G210" s="6" t="s">
        <v>23</v>
      </c>
      <c r="H210" s="7">
        <v>45131.0</v>
      </c>
      <c r="I210" s="8">
        <v>452.0</v>
      </c>
      <c r="J210" s="8">
        <v>240.96</v>
      </c>
      <c r="K210" s="8">
        <v>391.4</v>
      </c>
      <c r="O210" s="14" t="str">
        <f t="shared" si="1"/>
        <v>West</v>
      </c>
      <c r="P210" s="14" t="str">
        <f t="shared" si="2"/>
        <v>Electronics</v>
      </c>
    </row>
    <row r="211">
      <c r="B211" s="6" t="s">
        <v>247</v>
      </c>
      <c r="C211" s="6" t="s">
        <v>26</v>
      </c>
      <c r="D211" s="6" t="s">
        <v>31</v>
      </c>
      <c r="E211" s="6" t="s">
        <v>22</v>
      </c>
      <c r="F211" s="6" t="s">
        <v>28</v>
      </c>
      <c r="G211" s="6" t="s">
        <v>18</v>
      </c>
      <c r="H211" s="7">
        <v>45132.0</v>
      </c>
      <c r="I211" s="8">
        <v>93.0</v>
      </c>
      <c r="J211" s="8">
        <v>200.21</v>
      </c>
      <c r="K211" s="8">
        <v>299.78</v>
      </c>
      <c r="O211" s="14" t="str">
        <f t="shared" si="1"/>
        <v>North</v>
      </c>
      <c r="P211" s="14" t="str">
        <f t="shared" si="2"/>
        <v>Food</v>
      </c>
    </row>
    <row r="212">
      <c r="B212" s="6" t="s">
        <v>248</v>
      </c>
      <c r="C212" s="6" t="s">
        <v>20</v>
      </c>
      <c r="D212" s="6" t="s">
        <v>31</v>
      </c>
      <c r="E212" s="6" t="s">
        <v>32</v>
      </c>
      <c r="F212" s="6" t="s">
        <v>17</v>
      </c>
      <c r="G212" s="6" t="s">
        <v>33</v>
      </c>
      <c r="H212" s="7">
        <v>45133.0</v>
      </c>
      <c r="I212" s="8">
        <v>271.0</v>
      </c>
      <c r="J212" s="8">
        <v>276.96</v>
      </c>
      <c r="K212" s="8">
        <v>224.01</v>
      </c>
      <c r="O212" s="14" t="str">
        <f t="shared" si="1"/>
        <v>West</v>
      </c>
      <c r="P212" s="14" t="str">
        <f t="shared" si="2"/>
        <v>Furniture</v>
      </c>
    </row>
    <row r="213">
      <c r="B213" s="6" t="s">
        <v>249</v>
      </c>
      <c r="C213" s="6" t="s">
        <v>20</v>
      </c>
      <c r="D213" s="6" t="s">
        <v>39</v>
      </c>
      <c r="E213" s="6" t="s">
        <v>32</v>
      </c>
      <c r="F213" s="6" t="s">
        <v>17</v>
      </c>
      <c r="G213" s="6" t="s">
        <v>23</v>
      </c>
      <c r="H213" s="7">
        <v>45134.0</v>
      </c>
      <c r="I213" s="8">
        <v>156.0</v>
      </c>
      <c r="J213" s="8">
        <v>374.7</v>
      </c>
      <c r="K213" s="8">
        <v>73.88</v>
      </c>
      <c r="O213" s="14" t="str">
        <f t="shared" si="1"/>
        <v>West</v>
      </c>
      <c r="P213" s="14" t="str">
        <f t="shared" si="2"/>
        <v>Furniture</v>
      </c>
    </row>
    <row r="214">
      <c r="B214" s="6" t="s">
        <v>250</v>
      </c>
      <c r="C214" s="6" t="s">
        <v>61</v>
      </c>
      <c r="D214" s="6" t="s">
        <v>31</v>
      </c>
      <c r="E214" s="6" t="s">
        <v>55</v>
      </c>
      <c r="F214" s="6" t="s">
        <v>28</v>
      </c>
      <c r="G214" s="6" t="s">
        <v>23</v>
      </c>
      <c r="H214" s="7">
        <v>45135.0</v>
      </c>
      <c r="I214" s="8">
        <v>450.0</v>
      </c>
      <c r="J214" s="8">
        <v>359.17</v>
      </c>
      <c r="K214" s="8">
        <v>23.44</v>
      </c>
      <c r="O214" s="14" t="str">
        <f t="shared" si="1"/>
        <v>South</v>
      </c>
      <c r="P214" s="14" t="str">
        <f t="shared" si="2"/>
        <v>Electronics</v>
      </c>
    </row>
    <row r="215">
      <c r="B215" s="6" t="s">
        <v>251</v>
      </c>
      <c r="C215" s="6" t="s">
        <v>26</v>
      </c>
      <c r="D215" s="6" t="s">
        <v>21</v>
      </c>
      <c r="E215" s="6" t="s">
        <v>32</v>
      </c>
      <c r="F215" s="6" t="s">
        <v>17</v>
      </c>
      <c r="G215" s="6" t="s">
        <v>18</v>
      </c>
      <c r="H215" s="7">
        <v>45136.0</v>
      </c>
      <c r="I215" s="8">
        <v>462.0</v>
      </c>
      <c r="J215" s="8">
        <v>263.01</v>
      </c>
      <c r="K215" s="8">
        <v>129.38</v>
      </c>
      <c r="O215" s="14" t="str">
        <f t="shared" si="1"/>
        <v>North</v>
      </c>
      <c r="P215" s="14" t="str">
        <f t="shared" si="2"/>
        <v>Furniture</v>
      </c>
    </row>
    <row r="216">
      <c r="B216" s="6" t="s">
        <v>252</v>
      </c>
      <c r="C216" s="6" t="s">
        <v>14</v>
      </c>
      <c r="D216" s="6" t="s">
        <v>63</v>
      </c>
      <c r="E216" s="6"/>
      <c r="F216" s="6" t="s">
        <v>17</v>
      </c>
      <c r="G216" s="6" t="s">
        <v>33</v>
      </c>
      <c r="H216" s="7">
        <v>45137.0</v>
      </c>
      <c r="I216" s="8">
        <v>396.0</v>
      </c>
      <c r="J216" s="8">
        <v>412.08</v>
      </c>
      <c r="K216" s="8">
        <v>301.77</v>
      </c>
      <c r="O216" s="14" t="str">
        <f t="shared" si="1"/>
        <v>East</v>
      </c>
      <c r="P216" s="14" t="str">
        <f t="shared" si="2"/>
        <v>Beverages</v>
      </c>
    </row>
    <row r="217">
      <c r="B217" s="6" t="s">
        <v>253</v>
      </c>
      <c r="C217" s="6" t="s">
        <v>14</v>
      </c>
      <c r="D217" s="6" t="s">
        <v>63</v>
      </c>
      <c r="E217" s="6" t="s">
        <v>27</v>
      </c>
      <c r="F217" s="6" t="s">
        <v>28</v>
      </c>
      <c r="G217" s="6" t="s">
        <v>23</v>
      </c>
      <c r="H217" s="7">
        <v>45138.0</v>
      </c>
      <c r="I217" s="8">
        <v>266.0</v>
      </c>
      <c r="J217" s="8">
        <v>218.28</v>
      </c>
      <c r="K217" s="8">
        <v>109.19</v>
      </c>
      <c r="O217" s="14" t="str">
        <f t="shared" si="1"/>
        <v>East</v>
      </c>
      <c r="P217" s="14" t="str">
        <f t="shared" si="2"/>
        <v>Clothing</v>
      </c>
    </row>
    <row r="218">
      <c r="B218" s="6" t="s">
        <v>254</v>
      </c>
      <c r="C218" s="6" t="s">
        <v>26</v>
      </c>
      <c r="D218" s="6" t="s">
        <v>15</v>
      </c>
      <c r="E218" s="6" t="s">
        <v>55</v>
      </c>
      <c r="F218" s="6" t="s">
        <v>28</v>
      </c>
      <c r="G218" s="6" t="s">
        <v>18</v>
      </c>
      <c r="H218" s="7">
        <v>45139.0</v>
      </c>
      <c r="I218" s="8">
        <v>67.0</v>
      </c>
      <c r="J218" s="8">
        <v>448.87</v>
      </c>
      <c r="K218" s="8">
        <v>216.74</v>
      </c>
      <c r="O218" s="14" t="str">
        <f t="shared" si="1"/>
        <v>North</v>
      </c>
      <c r="P218" s="14" t="str">
        <f t="shared" si="2"/>
        <v>Electronics</v>
      </c>
    </row>
    <row r="219">
      <c r="B219" s="6" t="s">
        <v>255</v>
      </c>
      <c r="C219" s="6" t="s">
        <v>14</v>
      </c>
      <c r="D219" s="6" t="s">
        <v>31</v>
      </c>
      <c r="E219" s="6" t="s">
        <v>32</v>
      </c>
      <c r="F219" s="6" t="s">
        <v>17</v>
      </c>
      <c r="G219" s="6" t="s">
        <v>23</v>
      </c>
      <c r="H219" s="7">
        <v>45140.0</v>
      </c>
      <c r="I219" s="8">
        <v>389.0</v>
      </c>
      <c r="J219" s="8">
        <v>40.28</v>
      </c>
      <c r="K219" s="8">
        <v>291.72</v>
      </c>
      <c r="O219" s="14" t="str">
        <f t="shared" si="1"/>
        <v>East</v>
      </c>
      <c r="P219" s="14" t="str">
        <f t="shared" si="2"/>
        <v>Furniture</v>
      </c>
    </row>
    <row r="220">
      <c r="B220" s="6" t="s">
        <v>256</v>
      </c>
      <c r="C220" s="6" t="s">
        <v>14</v>
      </c>
      <c r="D220" s="6" t="s">
        <v>21</v>
      </c>
      <c r="E220" s="6" t="s">
        <v>55</v>
      </c>
      <c r="F220" s="6" t="s">
        <v>17</v>
      </c>
      <c r="G220" s="6" t="s">
        <v>33</v>
      </c>
      <c r="H220" s="7">
        <v>45141.0</v>
      </c>
      <c r="I220" s="8">
        <v>431.0</v>
      </c>
      <c r="J220" s="8">
        <v>477.56</v>
      </c>
      <c r="K220" s="8">
        <v>44.96</v>
      </c>
      <c r="O220" s="14" t="str">
        <f t="shared" si="1"/>
        <v>East</v>
      </c>
      <c r="P220" s="14" t="str">
        <f t="shared" si="2"/>
        <v>Electronics</v>
      </c>
    </row>
    <row r="221">
      <c r="B221" s="6" t="s">
        <v>257</v>
      </c>
      <c r="C221" s="6" t="s">
        <v>26</v>
      </c>
      <c r="D221" s="6" t="s">
        <v>15</v>
      </c>
      <c r="E221" s="6" t="s">
        <v>55</v>
      </c>
      <c r="F221" s="6" t="s">
        <v>28</v>
      </c>
      <c r="G221" s="6" t="s">
        <v>23</v>
      </c>
      <c r="H221" s="7">
        <v>45142.0</v>
      </c>
      <c r="I221" s="8">
        <v>24.0</v>
      </c>
      <c r="J221" s="8">
        <v>329.07</v>
      </c>
      <c r="K221" s="8">
        <v>274.75</v>
      </c>
      <c r="O221" s="14" t="str">
        <f t="shared" si="1"/>
        <v>North</v>
      </c>
      <c r="P221" s="14" t="str">
        <f t="shared" si="2"/>
        <v>Electronics</v>
      </c>
    </row>
    <row r="222">
      <c r="B222" s="6" t="s">
        <v>258</v>
      </c>
      <c r="C222" s="6" t="s">
        <v>20</v>
      </c>
      <c r="D222" s="6" t="s">
        <v>39</v>
      </c>
      <c r="E222" s="6" t="s">
        <v>27</v>
      </c>
      <c r="F222" s="6" t="s">
        <v>28</v>
      </c>
      <c r="G222" s="6" t="s">
        <v>23</v>
      </c>
      <c r="H222" s="7">
        <v>45143.0</v>
      </c>
      <c r="I222" s="8">
        <v>171.0</v>
      </c>
      <c r="J222" s="8">
        <v>193.14</v>
      </c>
      <c r="K222" s="8">
        <v>38.56</v>
      </c>
      <c r="O222" s="14" t="str">
        <f t="shared" si="1"/>
        <v>West</v>
      </c>
      <c r="P222" s="14" t="str">
        <f t="shared" si="2"/>
        <v>Clothing</v>
      </c>
    </row>
    <row r="223">
      <c r="B223" s="6" t="s">
        <v>259</v>
      </c>
      <c r="C223" s="6" t="s">
        <v>26</v>
      </c>
      <c r="D223" s="6" t="s">
        <v>15</v>
      </c>
      <c r="E223" s="6" t="s">
        <v>16</v>
      </c>
      <c r="F223" s="6" t="s">
        <v>17</v>
      </c>
      <c r="G223" s="6" t="s">
        <v>23</v>
      </c>
      <c r="H223" s="7">
        <v>45144.0</v>
      </c>
      <c r="I223" s="8">
        <v>454.0</v>
      </c>
      <c r="J223" s="8">
        <v>102.59</v>
      </c>
      <c r="K223" s="8">
        <v>386.12</v>
      </c>
      <c r="O223" s="14" t="str">
        <f t="shared" si="1"/>
        <v>North</v>
      </c>
      <c r="P223" s="14" t="str">
        <f t="shared" si="2"/>
        <v>Beverages</v>
      </c>
    </row>
    <row r="224">
      <c r="B224" s="6" t="s">
        <v>260</v>
      </c>
      <c r="C224" s="6" t="s">
        <v>20</v>
      </c>
      <c r="D224" s="6" t="s">
        <v>15</v>
      </c>
      <c r="E224" s="6" t="s">
        <v>55</v>
      </c>
      <c r="F224" s="6" t="s">
        <v>28</v>
      </c>
      <c r="G224" s="6" t="s">
        <v>23</v>
      </c>
      <c r="H224" s="7">
        <v>45145.0</v>
      </c>
      <c r="I224" s="8">
        <v>172.0</v>
      </c>
      <c r="J224" s="8">
        <v>242.2</v>
      </c>
      <c r="K224" s="8">
        <v>196.38</v>
      </c>
      <c r="O224" s="14" t="str">
        <f t="shared" si="1"/>
        <v>West</v>
      </c>
      <c r="P224" s="14" t="str">
        <f t="shared" si="2"/>
        <v>Electronics</v>
      </c>
    </row>
    <row r="225">
      <c r="B225" s="6" t="s">
        <v>261</v>
      </c>
      <c r="C225" s="6" t="s">
        <v>14</v>
      </c>
      <c r="D225" s="6" t="s">
        <v>31</v>
      </c>
      <c r="E225" s="6" t="s">
        <v>32</v>
      </c>
      <c r="F225" s="6" t="s">
        <v>17</v>
      </c>
      <c r="G225" s="6" t="s">
        <v>18</v>
      </c>
      <c r="H225" s="7">
        <v>45146.0</v>
      </c>
      <c r="I225" s="8">
        <v>329.0</v>
      </c>
      <c r="J225" s="8">
        <v>101.31</v>
      </c>
      <c r="K225" s="8">
        <v>61.97</v>
      </c>
      <c r="O225" s="14" t="str">
        <f t="shared" si="1"/>
        <v>East</v>
      </c>
      <c r="P225" s="14" t="str">
        <f t="shared" si="2"/>
        <v>Furniture</v>
      </c>
    </row>
    <row r="226">
      <c r="B226" s="6" t="s">
        <v>262</v>
      </c>
      <c r="C226" s="6" t="s">
        <v>14</v>
      </c>
      <c r="D226" s="6" t="s">
        <v>39</v>
      </c>
      <c r="E226" s="6" t="s">
        <v>22</v>
      </c>
      <c r="F226" s="6" t="s">
        <v>17</v>
      </c>
      <c r="G226" s="6" t="s">
        <v>18</v>
      </c>
      <c r="H226" s="7">
        <v>45147.0</v>
      </c>
      <c r="I226" s="8">
        <v>290.0</v>
      </c>
      <c r="J226" s="8">
        <v>87.33</v>
      </c>
      <c r="K226" s="8">
        <v>138.27</v>
      </c>
      <c r="O226" s="14" t="str">
        <f t="shared" si="1"/>
        <v>East</v>
      </c>
      <c r="P226" s="14" t="str">
        <f t="shared" si="2"/>
        <v>Food</v>
      </c>
    </row>
    <row r="227">
      <c r="B227" s="6" t="s">
        <v>263</v>
      </c>
      <c r="C227" s="6"/>
      <c r="D227" s="6" t="s">
        <v>15</v>
      </c>
      <c r="E227" s="6" t="s">
        <v>55</v>
      </c>
      <c r="F227" s="6" t="s">
        <v>17</v>
      </c>
      <c r="G227" s="6" t="s">
        <v>33</v>
      </c>
      <c r="H227" s="7">
        <v>45148.0</v>
      </c>
      <c r="I227" s="8">
        <v>289.0</v>
      </c>
      <c r="J227" s="8">
        <v>310.59</v>
      </c>
      <c r="K227" s="8">
        <v>166.54</v>
      </c>
      <c r="O227" s="14" t="str">
        <f t="shared" si="1"/>
        <v>West</v>
      </c>
      <c r="P227" s="14" t="str">
        <f t="shared" si="2"/>
        <v>Electronics</v>
      </c>
    </row>
    <row r="228">
      <c r="B228" s="6" t="s">
        <v>264</v>
      </c>
      <c r="C228" s="6" t="s">
        <v>61</v>
      </c>
      <c r="D228" s="6" t="s">
        <v>21</v>
      </c>
      <c r="E228" s="6" t="s">
        <v>55</v>
      </c>
      <c r="F228" s="6" t="s">
        <v>17</v>
      </c>
      <c r="G228" s="6" t="s">
        <v>18</v>
      </c>
      <c r="H228" s="7">
        <v>45149.0</v>
      </c>
      <c r="I228" s="8">
        <v>21.0</v>
      </c>
      <c r="J228" s="8">
        <v>263.93</v>
      </c>
      <c r="K228" s="8">
        <v>303.76</v>
      </c>
      <c r="O228" s="14" t="str">
        <f t="shared" si="1"/>
        <v>South</v>
      </c>
      <c r="P228" s="14" t="str">
        <f t="shared" si="2"/>
        <v>Electronics</v>
      </c>
    </row>
    <row r="229">
      <c r="B229" s="6" t="s">
        <v>265</v>
      </c>
      <c r="C229" s="6" t="s">
        <v>20</v>
      </c>
      <c r="D229" s="6" t="s">
        <v>21</v>
      </c>
      <c r="E229" s="6" t="s">
        <v>27</v>
      </c>
      <c r="F229" s="6" t="s">
        <v>17</v>
      </c>
      <c r="G229" s="6" t="s">
        <v>18</v>
      </c>
      <c r="H229" s="7">
        <v>45150.0</v>
      </c>
      <c r="I229" s="8">
        <v>283.0</v>
      </c>
      <c r="J229" s="8">
        <v>336.7</v>
      </c>
      <c r="K229" s="8">
        <v>297.88</v>
      </c>
      <c r="O229" s="14" t="str">
        <f t="shared" si="1"/>
        <v>West</v>
      </c>
      <c r="P229" s="14" t="str">
        <f t="shared" si="2"/>
        <v>Clothing</v>
      </c>
    </row>
    <row r="230">
      <c r="B230" s="6" t="s">
        <v>266</v>
      </c>
      <c r="C230" s="6" t="s">
        <v>61</v>
      </c>
      <c r="D230" s="6" t="s">
        <v>63</v>
      </c>
      <c r="E230" s="6" t="s">
        <v>16</v>
      </c>
      <c r="F230" s="6" t="s">
        <v>28</v>
      </c>
      <c r="G230" s="6" t="s">
        <v>33</v>
      </c>
      <c r="H230" s="7">
        <v>45151.0</v>
      </c>
      <c r="I230" s="8">
        <v>280.0</v>
      </c>
      <c r="J230" s="8">
        <v>465.15</v>
      </c>
      <c r="K230" s="8">
        <v>245.55</v>
      </c>
      <c r="O230" s="14" t="str">
        <f t="shared" si="1"/>
        <v>South</v>
      </c>
      <c r="P230" s="14" t="str">
        <f t="shared" si="2"/>
        <v>Beverages</v>
      </c>
    </row>
    <row r="231">
      <c r="B231" s="6" t="s">
        <v>267</v>
      </c>
      <c r="C231" s="6" t="s">
        <v>61</v>
      </c>
      <c r="D231" s="6" t="s">
        <v>39</v>
      </c>
      <c r="E231" s="6" t="s">
        <v>22</v>
      </c>
      <c r="F231" s="6" t="s">
        <v>28</v>
      </c>
      <c r="G231" s="6" t="s">
        <v>18</v>
      </c>
      <c r="H231" s="7">
        <v>45152.0</v>
      </c>
      <c r="I231" s="8">
        <v>217.0</v>
      </c>
      <c r="J231" s="8">
        <v>268.47</v>
      </c>
      <c r="K231" s="8">
        <v>44.16</v>
      </c>
      <c r="O231" s="14" t="str">
        <f t="shared" si="1"/>
        <v>South</v>
      </c>
      <c r="P231" s="14" t="str">
        <f t="shared" si="2"/>
        <v>Food</v>
      </c>
    </row>
    <row r="232">
      <c r="B232" s="6" t="s">
        <v>268</v>
      </c>
      <c r="C232" s="6" t="s">
        <v>26</v>
      </c>
      <c r="D232" s="6" t="s">
        <v>39</v>
      </c>
      <c r="E232" s="6" t="s">
        <v>32</v>
      </c>
      <c r="F232" s="6" t="s">
        <v>28</v>
      </c>
      <c r="G232" s="6" t="s">
        <v>18</v>
      </c>
      <c r="H232" s="7">
        <v>45153.0</v>
      </c>
      <c r="I232" s="8">
        <v>36.0</v>
      </c>
      <c r="J232" s="8">
        <v>292.56</v>
      </c>
      <c r="K232" s="8">
        <v>62.32</v>
      </c>
      <c r="O232" s="14" t="str">
        <f t="shared" si="1"/>
        <v>North</v>
      </c>
      <c r="P232" s="14" t="str">
        <f t="shared" si="2"/>
        <v>Furniture</v>
      </c>
    </row>
    <row r="233">
      <c r="B233" s="6" t="s">
        <v>269</v>
      </c>
      <c r="C233" s="6" t="s">
        <v>61</v>
      </c>
      <c r="D233" s="6" t="s">
        <v>63</v>
      </c>
      <c r="E233" s="6" t="s">
        <v>22</v>
      </c>
      <c r="F233" s="6" t="s">
        <v>28</v>
      </c>
      <c r="G233" s="6" t="s">
        <v>33</v>
      </c>
      <c r="H233" s="7">
        <v>45154.0</v>
      </c>
      <c r="I233" s="6"/>
      <c r="J233" s="8">
        <v>49.37</v>
      </c>
      <c r="K233" s="8">
        <v>39.32</v>
      </c>
      <c r="O233" s="14" t="str">
        <f t="shared" si="1"/>
        <v>South</v>
      </c>
      <c r="P233" s="14" t="str">
        <f t="shared" si="2"/>
        <v>Food</v>
      </c>
    </row>
    <row r="234">
      <c r="B234" s="6" t="s">
        <v>270</v>
      </c>
      <c r="C234" s="6" t="s">
        <v>26</v>
      </c>
      <c r="D234" s="6" t="s">
        <v>15</v>
      </c>
      <c r="E234" s="6" t="s">
        <v>32</v>
      </c>
      <c r="F234" s="6" t="s">
        <v>17</v>
      </c>
      <c r="G234" s="6" t="s">
        <v>33</v>
      </c>
      <c r="H234" s="7">
        <v>45155.0</v>
      </c>
      <c r="I234" s="8">
        <v>69.0</v>
      </c>
      <c r="J234" s="8">
        <v>360.23</v>
      </c>
      <c r="K234" s="8">
        <v>231.71</v>
      </c>
      <c r="O234" s="14" t="str">
        <f t="shared" si="1"/>
        <v>North</v>
      </c>
      <c r="P234" s="14" t="str">
        <f t="shared" si="2"/>
        <v>Furniture</v>
      </c>
    </row>
    <row r="235">
      <c r="B235" s="6" t="s">
        <v>271</v>
      </c>
      <c r="C235" s="6" t="s">
        <v>26</v>
      </c>
      <c r="D235" s="6" t="s">
        <v>39</v>
      </c>
      <c r="E235" s="6" t="s">
        <v>16</v>
      </c>
      <c r="F235" s="6" t="s">
        <v>17</v>
      </c>
      <c r="G235" s="6" t="s">
        <v>33</v>
      </c>
      <c r="H235" s="7">
        <v>45156.0</v>
      </c>
      <c r="I235" s="8">
        <v>439.0</v>
      </c>
      <c r="J235" s="8">
        <v>202.95</v>
      </c>
      <c r="K235" s="8">
        <v>351.1</v>
      </c>
      <c r="O235" s="14" t="str">
        <f t="shared" si="1"/>
        <v>North</v>
      </c>
      <c r="P235" s="14" t="str">
        <f t="shared" si="2"/>
        <v>Beverages</v>
      </c>
    </row>
    <row r="236">
      <c r="B236" s="6" t="s">
        <v>272</v>
      </c>
      <c r="C236" s="6" t="s">
        <v>61</v>
      </c>
      <c r="D236" s="6" t="s">
        <v>21</v>
      </c>
      <c r="E236" s="6" t="s">
        <v>32</v>
      </c>
      <c r="F236" s="6" t="s">
        <v>17</v>
      </c>
      <c r="G236" s="6" t="s">
        <v>23</v>
      </c>
      <c r="H236" s="7">
        <v>45157.0</v>
      </c>
      <c r="I236" s="8">
        <v>482.0</v>
      </c>
      <c r="J236" s="8">
        <v>488.48</v>
      </c>
      <c r="K236" s="8">
        <v>174.65</v>
      </c>
      <c r="O236" s="14" t="str">
        <f t="shared" si="1"/>
        <v>South</v>
      </c>
      <c r="P236" s="14" t="str">
        <f t="shared" si="2"/>
        <v>Furniture</v>
      </c>
    </row>
    <row r="237">
      <c r="B237" s="6" t="s">
        <v>273</v>
      </c>
      <c r="C237" s="6" t="s">
        <v>20</v>
      </c>
      <c r="D237" s="6" t="s">
        <v>21</v>
      </c>
      <c r="E237" s="6" t="s">
        <v>27</v>
      </c>
      <c r="F237" s="6" t="s">
        <v>17</v>
      </c>
      <c r="G237" s="6" t="s">
        <v>23</v>
      </c>
      <c r="H237" s="7">
        <v>45158.0</v>
      </c>
      <c r="I237" s="8">
        <v>154.0</v>
      </c>
      <c r="J237" s="8">
        <v>412.47</v>
      </c>
      <c r="K237" s="8">
        <v>66.02</v>
      </c>
      <c r="O237" s="14" t="str">
        <f t="shared" si="1"/>
        <v>West</v>
      </c>
      <c r="P237" s="14" t="str">
        <f t="shared" si="2"/>
        <v>Clothing</v>
      </c>
    </row>
    <row r="238">
      <c r="B238" s="6" t="s">
        <v>274</v>
      </c>
      <c r="C238" s="6" t="s">
        <v>20</v>
      </c>
      <c r="D238" s="6" t="s">
        <v>31</v>
      </c>
      <c r="E238" s="6" t="s">
        <v>27</v>
      </c>
      <c r="F238" s="6" t="s">
        <v>28</v>
      </c>
      <c r="G238" s="6" t="s">
        <v>33</v>
      </c>
      <c r="H238" s="7">
        <v>45159.0</v>
      </c>
      <c r="I238" s="8">
        <v>102.0</v>
      </c>
      <c r="J238" s="8">
        <v>263.63</v>
      </c>
      <c r="K238" s="8">
        <v>224.1</v>
      </c>
      <c r="O238" s="14" t="str">
        <f t="shared" si="1"/>
        <v>West</v>
      </c>
      <c r="P238" s="14" t="str">
        <f t="shared" si="2"/>
        <v>Clothing</v>
      </c>
    </row>
    <row r="239">
      <c r="B239" s="6" t="s">
        <v>275</v>
      </c>
      <c r="C239" s="6" t="s">
        <v>20</v>
      </c>
      <c r="D239" s="6" t="s">
        <v>39</v>
      </c>
      <c r="E239" s="6" t="s">
        <v>27</v>
      </c>
      <c r="F239" s="6" t="s">
        <v>17</v>
      </c>
      <c r="G239" s="6" t="s">
        <v>33</v>
      </c>
      <c r="H239" s="7">
        <v>45160.0</v>
      </c>
      <c r="I239" s="8">
        <v>318.0</v>
      </c>
      <c r="J239" s="8">
        <v>66.0</v>
      </c>
      <c r="K239" s="8">
        <v>325.08</v>
      </c>
      <c r="O239" s="14" t="str">
        <f t="shared" si="1"/>
        <v>West</v>
      </c>
      <c r="P239" s="14" t="str">
        <f t="shared" si="2"/>
        <v>Clothing</v>
      </c>
    </row>
    <row r="240">
      <c r="B240" s="6" t="s">
        <v>276</v>
      </c>
      <c r="C240" s="6" t="s">
        <v>20</v>
      </c>
      <c r="D240" s="6" t="s">
        <v>15</v>
      </c>
      <c r="E240" s="6" t="s">
        <v>27</v>
      </c>
      <c r="F240" s="6" t="s">
        <v>17</v>
      </c>
      <c r="G240" s="6" t="s">
        <v>33</v>
      </c>
      <c r="H240" s="7">
        <v>45161.0</v>
      </c>
      <c r="I240" s="8">
        <v>17.0</v>
      </c>
      <c r="J240" s="8">
        <v>430.41</v>
      </c>
      <c r="K240" s="8">
        <v>297.2</v>
      </c>
      <c r="O240" s="14" t="str">
        <f t="shared" si="1"/>
        <v>West</v>
      </c>
      <c r="P240" s="14" t="str">
        <f t="shared" si="2"/>
        <v>Clothing</v>
      </c>
    </row>
    <row r="241">
      <c r="B241" s="6" t="s">
        <v>277</v>
      </c>
      <c r="C241" s="6" t="s">
        <v>20</v>
      </c>
      <c r="D241" s="6" t="s">
        <v>63</v>
      </c>
      <c r="E241" s="6" t="s">
        <v>22</v>
      </c>
      <c r="F241" s="6" t="s">
        <v>28</v>
      </c>
      <c r="G241" s="6" t="s">
        <v>23</v>
      </c>
      <c r="H241" s="7">
        <v>45162.0</v>
      </c>
      <c r="I241" s="8">
        <v>88.0</v>
      </c>
      <c r="J241" s="8">
        <v>400.89</v>
      </c>
      <c r="K241" s="8">
        <v>352.82</v>
      </c>
      <c r="O241" s="14" t="str">
        <f t="shared" si="1"/>
        <v>West</v>
      </c>
      <c r="P241" s="14" t="str">
        <f t="shared" si="2"/>
        <v>Food</v>
      </c>
    </row>
    <row r="242">
      <c r="B242" s="6" t="s">
        <v>278</v>
      </c>
      <c r="C242" s="6" t="s">
        <v>61</v>
      </c>
      <c r="D242" s="6" t="s">
        <v>63</v>
      </c>
      <c r="E242" s="6" t="s">
        <v>16</v>
      </c>
      <c r="F242" s="6" t="s">
        <v>28</v>
      </c>
      <c r="G242" s="6" t="s">
        <v>23</v>
      </c>
      <c r="H242" s="7">
        <v>45163.0</v>
      </c>
      <c r="I242" s="8">
        <v>36.0</v>
      </c>
      <c r="J242" s="8">
        <v>96.37</v>
      </c>
      <c r="K242" s="8">
        <v>112.61</v>
      </c>
      <c r="O242" s="14" t="str">
        <f t="shared" si="1"/>
        <v>South</v>
      </c>
      <c r="P242" s="14" t="str">
        <f t="shared" si="2"/>
        <v>Beverages</v>
      </c>
    </row>
    <row r="243">
      <c r="B243" s="6" t="s">
        <v>279</v>
      </c>
      <c r="C243" s="6" t="s">
        <v>61</v>
      </c>
      <c r="D243" s="6" t="s">
        <v>15</v>
      </c>
      <c r="E243" s="6" t="s">
        <v>32</v>
      </c>
      <c r="F243" s="6" t="s">
        <v>28</v>
      </c>
      <c r="G243" s="6" t="s">
        <v>18</v>
      </c>
      <c r="H243" s="7">
        <v>45164.0</v>
      </c>
      <c r="I243" s="8">
        <v>183.0</v>
      </c>
      <c r="J243" s="8">
        <v>151.16</v>
      </c>
      <c r="K243" s="8">
        <v>79.19</v>
      </c>
      <c r="O243" s="14" t="str">
        <f t="shared" si="1"/>
        <v>South</v>
      </c>
      <c r="P243" s="14" t="str">
        <f t="shared" si="2"/>
        <v>Furniture</v>
      </c>
    </row>
    <row r="244">
      <c r="B244" s="6" t="s">
        <v>280</v>
      </c>
      <c r="C244" s="6" t="s">
        <v>14</v>
      </c>
      <c r="D244" s="6" t="s">
        <v>31</v>
      </c>
      <c r="E244" s="6" t="s">
        <v>32</v>
      </c>
      <c r="F244" s="6" t="s">
        <v>28</v>
      </c>
      <c r="G244" s="6" t="s">
        <v>18</v>
      </c>
      <c r="H244" s="7">
        <v>45165.0</v>
      </c>
      <c r="I244" s="8">
        <v>59.0</v>
      </c>
      <c r="J244" s="8">
        <v>397.74</v>
      </c>
      <c r="K244" s="8">
        <v>352.17</v>
      </c>
      <c r="O244" s="14" t="str">
        <f t="shared" si="1"/>
        <v>East</v>
      </c>
      <c r="P244" s="14" t="str">
        <f t="shared" si="2"/>
        <v>Furniture</v>
      </c>
    </row>
    <row r="245">
      <c r="B245" s="6" t="s">
        <v>281</v>
      </c>
      <c r="C245" s="6" t="s">
        <v>20</v>
      </c>
      <c r="D245" s="6" t="s">
        <v>63</v>
      </c>
      <c r="E245" s="6" t="s">
        <v>27</v>
      </c>
      <c r="F245" s="6" t="s">
        <v>17</v>
      </c>
      <c r="G245" s="6" t="s">
        <v>33</v>
      </c>
      <c r="H245" s="7">
        <v>45166.0</v>
      </c>
      <c r="I245" s="8">
        <v>208.0</v>
      </c>
      <c r="J245" s="8">
        <v>96.69</v>
      </c>
      <c r="K245" s="8">
        <v>263.71</v>
      </c>
      <c r="O245" s="14" t="str">
        <f t="shared" si="1"/>
        <v>West</v>
      </c>
      <c r="P245" s="14" t="str">
        <f t="shared" si="2"/>
        <v>Clothing</v>
      </c>
    </row>
    <row r="246">
      <c r="B246" s="6" t="s">
        <v>282</v>
      </c>
      <c r="C246" s="6" t="s">
        <v>61</v>
      </c>
      <c r="D246" s="6" t="s">
        <v>39</v>
      </c>
      <c r="E246" s="6" t="s">
        <v>27</v>
      </c>
      <c r="F246" s="6" t="s">
        <v>17</v>
      </c>
      <c r="G246" s="6" t="s">
        <v>23</v>
      </c>
      <c r="H246" s="7">
        <v>45167.0</v>
      </c>
      <c r="I246" s="8">
        <v>396.0</v>
      </c>
      <c r="J246" s="8">
        <v>459.29</v>
      </c>
      <c r="K246" s="8">
        <v>125.75</v>
      </c>
      <c r="O246" s="14" t="str">
        <f t="shared" si="1"/>
        <v>South</v>
      </c>
      <c r="P246" s="14" t="str">
        <f t="shared" si="2"/>
        <v>Clothing</v>
      </c>
    </row>
    <row r="247">
      <c r="B247" s="6" t="s">
        <v>283</v>
      </c>
      <c r="C247" s="6" t="s">
        <v>14</v>
      </c>
      <c r="D247" s="6" t="s">
        <v>31</v>
      </c>
      <c r="E247" s="6" t="s">
        <v>55</v>
      </c>
      <c r="F247" s="6" t="s">
        <v>28</v>
      </c>
      <c r="G247" s="6" t="s">
        <v>23</v>
      </c>
      <c r="H247" s="7">
        <v>45168.0</v>
      </c>
      <c r="I247" s="8">
        <v>358.0</v>
      </c>
      <c r="J247" s="8">
        <v>215.14</v>
      </c>
      <c r="K247" s="8">
        <v>297.45</v>
      </c>
      <c r="O247" s="14" t="str">
        <f t="shared" si="1"/>
        <v>East</v>
      </c>
      <c r="P247" s="14" t="str">
        <f t="shared" si="2"/>
        <v>Electronics</v>
      </c>
    </row>
    <row r="248">
      <c r="B248" s="6" t="s">
        <v>284</v>
      </c>
      <c r="C248" s="6" t="s">
        <v>20</v>
      </c>
      <c r="D248" s="6" t="s">
        <v>39</v>
      </c>
      <c r="E248" s="6" t="s">
        <v>16</v>
      </c>
      <c r="F248" s="6" t="s">
        <v>17</v>
      </c>
      <c r="G248" s="6" t="s">
        <v>23</v>
      </c>
      <c r="H248" s="7">
        <v>45169.0</v>
      </c>
      <c r="I248" s="8">
        <v>457.0</v>
      </c>
      <c r="J248" s="8">
        <v>48.08</v>
      </c>
      <c r="K248" s="8">
        <v>326.42</v>
      </c>
      <c r="O248" s="14" t="str">
        <f t="shared" si="1"/>
        <v>West</v>
      </c>
      <c r="P248" s="14" t="str">
        <f t="shared" si="2"/>
        <v>Beverages</v>
      </c>
    </row>
    <row r="249">
      <c r="B249" s="6" t="s">
        <v>285</v>
      </c>
      <c r="C249" s="6" t="s">
        <v>26</v>
      </c>
      <c r="D249" s="6" t="s">
        <v>21</v>
      </c>
      <c r="E249" s="6" t="s">
        <v>22</v>
      </c>
      <c r="F249" s="6" t="s">
        <v>17</v>
      </c>
      <c r="G249" s="6" t="s">
        <v>33</v>
      </c>
      <c r="H249" s="7">
        <v>45170.0</v>
      </c>
      <c r="I249" s="8">
        <v>437.0</v>
      </c>
      <c r="J249" s="8">
        <v>408.8</v>
      </c>
      <c r="K249" s="8">
        <v>246.76</v>
      </c>
      <c r="O249" s="14" t="str">
        <f t="shared" si="1"/>
        <v>North</v>
      </c>
      <c r="P249" s="14" t="str">
        <f t="shared" si="2"/>
        <v>Food</v>
      </c>
    </row>
    <row r="250">
      <c r="B250" s="6" t="s">
        <v>286</v>
      </c>
      <c r="C250" s="6" t="s">
        <v>14</v>
      </c>
      <c r="D250" s="6" t="s">
        <v>31</v>
      </c>
      <c r="E250" s="6" t="s">
        <v>32</v>
      </c>
      <c r="F250" s="6" t="s">
        <v>17</v>
      </c>
      <c r="G250" s="6" t="s">
        <v>18</v>
      </c>
      <c r="H250" s="7">
        <v>45171.0</v>
      </c>
      <c r="I250" s="8">
        <v>190.0</v>
      </c>
      <c r="J250" s="8">
        <v>189.89</v>
      </c>
      <c r="K250" s="8">
        <v>275.78</v>
      </c>
      <c r="O250" s="14" t="str">
        <f t="shared" si="1"/>
        <v>East</v>
      </c>
      <c r="P250" s="14" t="str">
        <f t="shared" si="2"/>
        <v>Furniture</v>
      </c>
    </row>
    <row r="251">
      <c r="B251" s="6" t="s">
        <v>287</v>
      </c>
      <c r="C251" s="6" t="s">
        <v>61</v>
      </c>
      <c r="D251" s="6" t="s">
        <v>63</v>
      </c>
      <c r="E251" s="6" t="s">
        <v>55</v>
      </c>
      <c r="F251" s="6" t="s">
        <v>28</v>
      </c>
      <c r="G251" s="6" t="s">
        <v>33</v>
      </c>
      <c r="H251" s="7">
        <v>45172.0</v>
      </c>
      <c r="I251" s="8">
        <v>33.0</v>
      </c>
      <c r="J251" s="8">
        <v>265.62</v>
      </c>
      <c r="K251" s="8">
        <v>151.35</v>
      </c>
      <c r="O251" s="14" t="str">
        <f t="shared" si="1"/>
        <v>South</v>
      </c>
      <c r="P251" s="14" t="str">
        <f t="shared" si="2"/>
        <v>Electronics</v>
      </c>
    </row>
    <row r="252">
      <c r="B252" s="6" t="s">
        <v>288</v>
      </c>
      <c r="C252" s="6" t="s">
        <v>26</v>
      </c>
      <c r="D252" s="6" t="s">
        <v>31</v>
      </c>
      <c r="E252" s="6" t="s">
        <v>55</v>
      </c>
      <c r="F252" s="6" t="s">
        <v>17</v>
      </c>
      <c r="G252" s="6" t="s">
        <v>18</v>
      </c>
      <c r="H252" s="7">
        <v>45173.0</v>
      </c>
      <c r="I252" s="8">
        <v>325.0</v>
      </c>
      <c r="J252" s="8">
        <v>60.59</v>
      </c>
      <c r="K252" s="8">
        <v>216.4</v>
      </c>
      <c r="O252" s="14" t="str">
        <f t="shared" si="1"/>
        <v>North</v>
      </c>
      <c r="P252" s="14" t="str">
        <f t="shared" si="2"/>
        <v>Electronics</v>
      </c>
    </row>
    <row r="253">
      <c r="B253" s="6" t="s">
        <v>289</v>
      </c>
      <c r="C253" s="6" t="s">
        <v>26</v>
      </c>
      <c r="D253" s="6" t="s">
        <v>31</v>
      </c>
      <c r="E253" s="6" t="s">
        <v>32</v>
      </c>
      <c r="F253" s="6" t="s">
        <v>28</v>
      </c>
      <c r="G253" s="6" t="s">
        <v>18</v>
      </c>
      <c r="H253" s="7">
        <v>45174.0</v>
      </c>
      <c r="I253" s="8">
        <v>387.0</v>
      </c>
      <c r="J253" s="8">
        <v>6.28</v>
      </c>
      <c r="K253" s="8">
        <v>210.62</v>
      </c>
      <c r="O253" s="14" t="str">
        <f t="shared" si="1"/>
        <v>North</v>
      </c>
      <c r="P253" s="14" t="str">
        <f t="shared" si="2"/>
        <v>Furniture</v>
      </c>
    </row>
    <row r="254">
      <c r="B254" s="6" t="s">
        <v>290</v>
      </c>
      <c r="C254" s="6" t="s">
        <v>26</v>
      </c>
      <c r="D254" s="6" t="s">
        <v>31</v>
      </c>
      <c r="E254" s="6" t="s">
        <v>22</v>
      </c>
      <c r="F254" s="6" t="s">
        <v>17</v>
      </c>
      <c r="G254" s="6" t="s">
        <v>33</v>
      </c>
      <c r="H254" s="7">
        <v>45175.0</v>
      </c>
      <c r="I254" s="8">
        <v>396.0</v>
      </c>
      <c r="J254" s="8">
        <v>320.8</v>
      </c>
      <c r="K254" s="8">
        <v>339.52</v>
      </c>
      <c r="O254" s="14" t="str">
        <f t="shared" si="1"/>
        <v>North</v>
      </c>
      <c r="P254" s="14" t="str">
        <f t="shared" si="2"/>
        <v>Food</v>
      </c>
    </row>
    <row r="255">
      <c r="B255" s="6" t="s">
        <v>291</v>
      </c>
      <c r="C255" s="6" t="s">
        <v>14</v>
      </c>
      <c r="D255" s="6" t="s">
        <v>31</v>
      </c>
      <c r="E255" s="6" t="s">
        <v>55</v>
      </c>
      <c r="F255" s="6" t="s">
        <v>17</v>
      </c>
      <c r="G255" s="6" t="s">
        <v>18</v>
      </c>
      <c r="H255" s="7">
        <v>45176.0</v>
      </c>
      <c r="I255" s="8">
        <v>413.0</v>
      </c>
      <c r="J255" s="8">
        <v>260.01</v>
      </c>
      <c r="K255" s="8">
        <v>336.31</v>
      </c>
      <c r="O255" s="14" t="str">
        <f t="shared" si="1"/>
        <v>East</v>
      </c>
      <c r="P255" s="14" t="str">
        <f t="shared" si="2"/>
        <v>Electronics</v>
      </c>
    </row>
    <row r="256">
      <c r="B256" s="6" t="s">
        <v>292</v>
      </c>
      <c r="C256" s="6" t="s">
        <v>61</v>
      </c>
      <c r="D256" s="6" t="s">
        <v>39</v>
      </c>
      <c r="E256" s="6" t="s">
        <v>55</v>
      </c>
      <c r="F256" s="6" t="s">
        <v>17</v>
      </c>
      <c r="G256" s="6" t="s">
        <v>18</v>
      </c>
      <c r="H256" s="7">
        <v>45177.0</v>
      </c>
      <c r="I256" s="6"/>
      <c r="J256" s="8">
        <v>298.8</v>
      </c>
      <c r="K256" s="8">
        <v>333.41</v>
      </c>
      <c r="O256" s="14" t="str">
        <f t="shared" si="1"/>
        <v>South</v>
      </c>
      <c r="P256" s="14" t="str">
        <f t="shared" si="2"/>
        <v>Electronics</v>
      </c>
    </row>
    <row r="257">
      <c r="B257" s="6" t="s">
        <v>293</v>
      </c>
      <c r="C257" s="6" t="s">
        <v>26</v>
      </c>
      <c r="D257" s="6" t="s">
        <v>21</v>
      </c>
      <c r="E257" s="6" t="s">
        <v>16</v>
      </c>
      <c r="F257" s="6" t="s">
        <v>28</v>
      </c>
      <c r="G257" s="6" t="s">
        <v>23</v>
      </c>
      <c r="H257" s="7">
        <v>45178.0</v>
      </c>
      <c r="I257" s="8">
        <v>24.0</v>
      </c>
      <c r="J257" s="8">
        <v>397.9</v>
      </c>
      <c r="K257" s="8">
        <v>6.39</v>
      </c>
      <c r="O257" s="14" t="str">
        <f t="shared" si="1"/>
        <v>North</v>
      </c>
      <c r="P257" s="14" t="str">
        <f t="shared" si="2"/>
        <v>Beverages</v>
      </c>
    </row>
    <row r="258">
      <c r="B258" s="6" t="s">
        <v>294</v>
      </c>
      <c r="C258" s="6" t="s">
        <v>20</v>
      </c>
      <c r="D258" s="6" t="s">
        <v>15</v>
      </c>
      <c r="E258" s="6"/>
      <c r="F258" s="6" t="s">
        <v>17</v>
      </c>
      <c r="G258" s="6" t="s">
        <v>18</v>
      </c>
      <c r="H258" s="7">
        <v>45179.0</v>
      </c>
      <c r="I258" s="8">
        <v>162.0</v>
      </c>
      <c r="J258" s="8">
        <v>325.07</v>
      </c>
      <c r="K258" s="8">
        <v>300.32</v>
      </c>
      <c r="O258" s="14" t="str">
        <f t="shared" si="1"/>
        <v>West</v>
      </c>
      <c r="P258" s="14" t="str">
        <f t="shared" si="2"/>
        <v>Beverages</v>
      </c>
    </row>
    <row r="259">
      <c r="B259" s="6" t="s">
        <v>295</v>
      </c>
      <c r="C259" s="6" t="s">
        <v>26</v>
      </c>
      <c r="D259" s="6" t="s">
        <v>31</v>
      </c>
      <c r="E259" s="6" t="s">
        <v>55</v>
      </c>
      <c r="F259" s="6" t="s">
        <v>28</v>
      </c>
      <c r="G259" s="6" t="s">
        <v>33</v>
      </c>
      <c r="H259" s="7">
        <v>45180.0</v>
      </c>
      <c r="I259" s="8">
        <v>231.0</v>
      </c>
      <c r="J259" s="8">
        <v>91.51</v>
      </c>
      <c r="K259" s="8">
        <v>303.95</v>
      </c>
      <c r="O259" s="14" t="str">
        <f t="shared" si="1"/>
        <v>North</v>
      </c>
      <c r="P259" s="14" t="str">
        <f t="shared" si="2"/>
        <v>Electronics</v>
      </c>
    </row>
    <row r="260">
      <c r="B260" s="6" t="s">
        <v>296</v>
      </c>
      <c r="C260" s="6" t="s">
        <v>26</v>
      </c>
      <c r="D260" s="6" t="s">
        <v>63</v>
      </c>
      <c r="E260" s="6" t="s">
        <v>22</v>
      </c>
      <c r="F260" s="6" t="s">
        <v>28</v>
      </c>
      <c r="G260" s="6" t="s">
        <v>33</v>
      </c>
      <c r="H260" s="7">
        <v>45181.0</v>
      </c>
      <c r="I260" s="8">
        <v>215.0</v>
      </c>
      <c r="J260" s="8">
        <v>183.58</v>
      </c>
      <c r="K260" s="8">
        <v>271.99</v>
      </c>
      <c r="O260" s="14" t="str">
        <f t="shared" si="1"/>
        <v>North</v>
      </c>
      <c r="P260" s="14" t="str">
        <f t="shared" si="2"/>
        <v>Food</v>
      </c>
    </row>
    <row r="261">
      <c r="B261" s="6" t="s">
        <v>297</v>
      </c>
      <c r="C261" s="6" t="s">
        <v>14</v>
      </c>
      <c r="D261" s="6" t="s">
        <v>31</v>
      </c>
      <c r="E261" s="6" t="s">
        <v>32</v>
      </c>
      <c r="F261" s="6" t="s">
        <v>28</v>
      </c>
      <c r="G261" s="6" t="s">
        <v>18</v>
      </c>
      <c r="H261" s="7">
        <v>45182.0</v>
      </c>
      <c r="I261" s="8">
        <v>464.0</v>
      </c>
      <c r="J261" s="8">
        <v>453.42</v>
      </c>
      <c r="K261" s="8">
        <v>302.99</v>
      </c>
      <c r="O261" s="14" t="str">
        <f t="shared" si="1"/>
        <v>East</v>
      </c>
      <c r="P261" s="14" t="str">
        <f t="shared" si="2"/>
        <v>Furniture</v>
      </c>
    </row>
    <row r="262">
      <c r="B262" s="6" t="s">
        <v>298</v>
      </c>
      <c r="C262" s="6" t="s">
        <v>14</v>
      </c>
      <c r="D262" s="6" t="s">
        <v>63</v>
      </c>
      <c r="E262" s="6" t="s">
        <v>27</v>
      </c>
      <c r="F262" s="6" t="s">
        <v>17</v>
      </c>
      <c r="G262" s="6" t="s">
        <v>23</v>
      </c>
      <c r="H262" s="7">
        <v>45183.0</v>
      </c>
      <c r="I262" s="8">
        <v>282.0</v>
      </c>
      <c r="J262" s="6"/>
      <c r="K262" s="8">
        <v>337.1</v>
      </c>
      <c r="O262" s="14" t="str">
        <f t="shared" si="1"/>
        <v>East</v>
      </c>
      <c r="P262" s="14" t="str">
        <f t="shared" si="2"/>
        <v>Clothing</v>
      </c>
    </row>
    <row r="263">
      <c r="B263" s="6" t="s">
        <v>299</v>
      </c>
      <c r="C263" s="6" t="s">
        <v>61</v>
      </c>
      <c r="D263" s="6" t="s">
        <v>39</v>
      </c>
      <c r="E263" s="6" t="s">
        <v>55</v>
      </c>
      <c r="F263" s="6" t="s">
        <v>17</v>
      </c>
      <c r="G263" s="6" t="s">
        <v>23</v>
      </c>
      <c r="H263" s="7">
        <v>45184.0</v>
      </c>
      <c r="I263" s="8">
        <v>391.0</v>
      </c>
      <c r="J263" s="8">
        <v>280.54</v>
      </c>
      <c r="K263" s="8">
        <v>189.19</v>
      </c>
      <c r="O263" s="14" t="str">
        <f t="shared" si="1"/>
        <v>South</v>
      </c>
      <c r="P263" s="14" t="str">
        <f t="shared" si="2"/>
        <v>Electronics</v>
      </c>
    </row>
    <row r="264">
      <c r="B264" s="6" t="s">
        <v>300</v>
      </c>
      <c r="C264" s="6" t="s">
        <v>20</v>
      </c>
      <c r="D264" s="6" t="s">
        <v>63</v>
      </c>
      <c r="E264" s="6" t="s">
        <v>16</v>
      </c>
      <c r="F264" s="6" t="s">
        <v>17</v>
      </c>
      <c r="G264" s="6" t="s">
        <v>18</v>
      </c>
      <c r="H264" s="7">
        <v>45185.0</v>
      </c>
      <c r="I264" s="8">
        <v>245.0</v>
      </c>
      <c r="J264" s="8">
        <v>131.54</v>
      </c>
      <c r="K264" s="8">
        <v>201.82</v>
      </c>
      <c r="O264" s="14" t="str">
        <f t="shared" si="1"/>
        <v>West</v>
      </c>
      <c r="P264" s="14" t="str">
        <f t="shared" si="2"/>
        <v>Beverages</v>
      </c>
    </row>
    <row r="265">
      <c r="B265" s="6" t="s">
        <v>301</v>
      </c>
      <c r="C265" s="6" t="s">
        <v>14</v>
      </c>
      <c r="D265" s="6" t="s">
        <v>15</v>
      </c>
      <c r="E265" s="6" t="s">
        <v>32</v>
      </c>
      <c r="F265" s="6" t="s">
        <v>17</v>
      </c>
      <c r="G265" s="6" t="s">
        <v>18</v>
      </c>
      <c r="H265" s="7">
        <v>45186.0</v>
      </c>
      <c r="I265" s="8">
        <v>349.0</v>
      </c>
      <c r="J265" s="8">
        <v>154.52</v>
      </c>
      <c r="K265" s="8">
        <v>51.64</v>
      </c>
      <c r="O265" s="14" t="str">
        <f t="shared" si="1"/>
        <v>East</v>
      </c>
      <c r="P265" s="14" t="str">
        <f t="shared" si="2"/>
        <v>Furniture</v>
      </c>
    </row>
    <row r="266">
      <c r="B266" s="6" t="s">
        <v>302</v>
      </c>
      <c r="C266" s="6" t="s">
        <v>26</v>
      </c>
      <c r="D266" s="6" t="s">
        <v>21</v>
      </c>
      <c r="E266" s="6" t="s">
        <v>22</v>
      </c>
      <c r="F266" s="6" t="s">
        <v>28</v>
      </c>
      <c r="G266" s="6" t="s">
        <v>33</v>
      </c>
      <c r="H266" s="7">
        <v>45187.0</v>
      </c>
      <c r="I266" s="8">
        <v>237.0</v>
      </c>
      <c r="J266" s="6"/>
      <c r="K266" s="8">
        <v>155.38</v>
      </c>
      <c r="O266" s="14" t="str">
        <f t="shared" si="1"/>
        <v>North</v>
      </c>
      <c r="P266" s="14" t="str">
        <f t="shared" si="2"/>
        <v>Food</v>
      </c>
    </row>
    <row r="267">
      <c r="B267" s="6" t="s">
        <v>303</v>
      </c>
      <c r="C267" s="6" t="s">
        <v>61</v>
      </c>
      <c r="D267" s="6" t="s">
        <v>63</v>
      </c>
      <c r="E267" s="6" t="s">
        <v>32</v>
      </c>
      <c r="F267" s="6" t="s">
        <v>28</v>
      </c>
      <c r="G267" s="6" t="s">
        <v>18</v>
      </c>
      <c r="H267" s="7">
        <v>45188.0</v>
      </c>
      <c r="I267" s="8">
        <v>18.0</v>
      </c>
      <c r="J267" s="8">
        <v>426.33</v>
      </c>
      <c r="K267" s="8">
        <v>258.06</v>
      </c>
      <c r="O267" s="14" t="str">
        <f t="shared" si="1"/>
        <v>South</v>
      </c>
      <c r="P267" s="14" t="str">
        <f t="shared" si="2"/>
        <v>Furniture</v>
      </c>
    </row>
    <row r="268">
      <c r="B268" s="6" t="s">
        <v>304</v>
      </c>
      <c r="C268" s="6" t="s">
        <v>26</v>
      </c>
      <c r="D268" s="6" t="s">
        <v>63</v>
      </c>
      <c r="E268" s="6" t="s">
        <v>55</v>
      </c>
      <c r="F268" s="6" t="s">
        <v>28</v>
      </c>
      <c r="G268" s="6" t="s">
        <v>23</v>
      </c>
      <c r="H268" s="7">
        <v>45189.0</v>
      </c>
      <c r="I268" s="8">
        <v>175.0</v>
      </c>
      <c r="J268" s="8">
        <v>337.36</v>
      </c>
      <c r="K268" s="8">
        <v>312.6</v>
      </c>
      <c r="O268" s="14" t="str">
        <f t="shared" si="1"/>
        <v>North</v>
      </c>
      <c r="P268" s="14" t="str">
        <f t="shared" si="2"/>
        <v>Electronics</v>
      </c>
    </row>
    <row r="269">
      <c r="B269" s="6" t="s">
        <v>305</v>
      </c>
      <c r="C269" s="6" t="s">
        <v>26</v>
      </c>
      <c r="D269" s="6" t="s">
        <v>21</v>
      </c>
      <c r="E269" s="6"/>
      <c r="F269" s="6" t="s">
        <v>17</v>
      </c>
      <c r="G269" s="6" t="s">
        <v>18</v>
      </c>
      <c r="H269" s="7">
        <v>45190.0</v>
      </c>
      <c r="I269" s="8">
        <v>441.0</v>
      </c>
      <c r="J269" s="8">
        <v>405.72</v>
      </c>
      <c r="K269" s="8">
        <v>88.45</v>
      </c>
      <c r="O269" s="14" t="str">
        <f t="shared" si="1"/>
        <v>North</v>
      </c>
      <c r="P269" s="14" t="str">
        <f t="shared" si="2"/>
        <v>Beverages</v>
      </c>
    </row>
    <row r="270">
      <c r="B270" s="6" t="s">
        <v>306</v>
      </c>
      <c r="C270" s="6" t="s">
        <v>14</v>
      </c>
      <c r="D270" s="6" t="s">
        <v>15</v>
      </c>
      <c r="E270" s="6" t="s">
        <v>27</v>
      </c>
      <c r="F270" s="6" t="s">
        <v>28</v>
      </c>
      <c r="G270" s="6" t="s">
        <v>33</v>
      </c>
      <c r="H270" s="7">
        <v>45191.0</v>
      </c>
      <c r="I270" s="8">
        <v>453.0</v>
      </c>
      <c r="J270" s="8">
        <v>384.49</v>
      </c>
      <c r="K270" s="8">
        <v>56.85</v>
      </c>
      <c r="O270" s="14" t="str">
        <f t="shared" si="1"/>
        <v>East</v>
      </c>
      <c r="P270" s="14" t="str">
        <f t="shared" si="2"/>
        <v>Clothing</v>
      </c>
    </row>
    <row r="271">
      <c r="B271" s="6" t="s">
        <v>307</v>
      </c>
      <c r="C271" s="6" t="s">
        <v>61</v>
      </c>
      <c r="D271" s="6" t="s">
        <v>31</v>
      </c>
      <c r="E271" s="6" t="s">
        <v>32</v>
      </c>
      <c r="F271" s="6" t="s">
        <v>17</v>
      </c>
      <c r="G271" s="6" t="s">
        <v>33</v>
      </c>
      <c r="H271" s="7">
        <v>45192.0</v>
      </c>
      <c r="I271" s="8">
        <v>328.0</v>
      </c>
      <c r="J271" s="8">
        <v>79.1</v>
      </c>
      <c r="K271" s="8">
        <v>265.89</v>
      </c>
      <c r="O271" s="14" t="str">
        <f t="shared" si="1"/>
        <v>South</v>
      </c>
      <c r="P271" s="14" t="str">
        <f t="shared" si="2"/>
        <v>Furniture</v>
      </c>
    </row>
    <row r="272">
      <c r="B272" s="6" t="s">
        <v>308</v>
      </c>
      <c r="C272" s="6" t="s">
        <v>20</v>
      </c>
      <c r="D272" s="6" t="s">
        <v>63</v>
      </c>
      <c r="E272" s="6" t="s">
        <v>55</v>
      </c>
      <c r="F272" s="6" t="s">
        <v>28</v>
      </c>
      <c r="G272" s="6" t="s">
        <v>33</v>
      </c>
      <c r="H272" s="7">
        <v>45193.0</v>
      </c>
      <c r="I272" s="8">
        <v>223.0</v>
      </c>
      <c r="J272" s="8">
        <v>214.85</v>
      </c>
      <c r="K272" s="8">
        <v>2.75</v>
      </c>
      <c r="O272" s="14" t="str">
        <f t="shared" si="1"/>
        <v>West</v>
      </c>
      <c r="P272" s="14" t="str">
        <f t="shared" si="2"/>
        <v>Electronics</v>
      </c>
    </row>
    <row r="273">
      <c r="B273" s="6" t="s">
        <v>309</v>
      </c>
      <c r="C273" s="6" t="s">
        <v>20</v>
      </c>
      <c r="D273" s="6" t="s">
        <v>21</v>
      </c>
      <c r="E273" s="6" t="s">
        <v>16</v>
      </c>
      <c r="F273" s="6" t="s">
        <v>17</v>
      </c>
      <c r="G273" s="6" t="s">
        <v>33</v>
      </c>
      <c r="H273" s="7">
        <v>45194.0</v>
      </c>
      <c r="I273" s="8">
        <v>126.0</v>
      </c>
      <c r="J273" s="8">
        <v>80.73</v>
      </c>
      <c r="K273" s="8">
        <v>72.99</v>
      </c>
      <c r="O273" s="14" t="str">
        <f t="shared" si="1"/>
        <v>West</v>
      </c>
      <c r="P273" s="14" t="str">
        <f t="shared" si="2"/>
        <v>Beverages</v>
      </c>
    </row>
    <row r="274">
      <c r="B274" s="6" t="s">
        <v>310</v>
      </c>
      <c r="C274" s="6" t="s">
        <v>14</v>
      </c>
      <c r="D274" s="6" t="s">
        <v>39</v>
      </c>
      <c r="E274" s="6" t="s">
        <v>22</v>
      </c>
      <c r="F274" s="6" t="s">
        <v>17</v>
      </c>
      <c r="G274" s="6" t="s">
        <v>33</v>
      </c>
      <c r="H274" s="7">
        <v>45195.0</v>
      </c>
      <c r="I274" s="8">
        <v>395.0</v>
      </c>
      <c r="J274" s="8">
        <v>121.44</v>
      </c>
      <c r="K274" s="8">
        <v>13.57</v>
      </c>
      <c r="O274" s="14" t="str">
        <f t="shared" si="1"/>
        <v>East</v>
      </c>
      <c r="P274" s="14" t="str">
        <f t="shared" si="2"/>
        <v>Food</v>
      </c>
    </row>
    <row r="275">
      <c r="B275" s="6" t="s">
        <v>311</v>
      </c>
      <c r="C275" s="6" t="s">
        <v>14</v>
      </c>
      <c r="D275" s="6" t="s">
        <v>21</v>
      </c>
      <c r="E275" s="6" t="s">
        <v>32</v>
      </c>
      <c r="F275" s="6" t="s">
        <v>28</v>
      </c>
      <c r="G275" s="6" t="s">
        <v>18</v>
      </c>
      <c r="H275" s="7">
        <v>45196.0</v>
      </c>
      <c r="I275" s="8">
        <v>353.0</v>
      </c>
      <c r="J275" s="8">
        <v>435.28</v>
      </c>
      <c r="K275" s="8">
        <v>68.42</v>
      </c>
      <c r="O275" s="14" t="str">
        <f t="shared" si="1"/>
        <v>East</v>
      </c>
      <c r="P275" s="14" t="str">
        <f t="shared" si="2"/>
        <v>Furniture</v>
      </c>
    </row>
    <row r="276">
      <c r="B276" s="6" t="s">
        <v>312</v>
      </c>
      <c r="C276" s="6" t="s">
        <v>61</v>
      </c>
      <c r="D276" s="6" t="s">
        <v>39</v>
      </c>
      <c r="E276" s="6" t="s">
        <v>32</v>
      </c>
      <c r="F276" s="6" t="s">
        <v>28</v>
      </c>
      <c r="G276" s="6" t="s">
        <v>18</v>
      </c>
      <c r="H276" s="7">
        <v>45197.0</v>
      </c>
      <c r="I276" s="8">
        <v>81.0</v>
      </c>
      <c r="J276" s="8">
        <v>239.08</v>
      </c>
      <c r="K276" s="8">
        <v>74.17</v>
      </c>
      <c r="O276" s="14" t="str">
        <f t="shared" si="1"/>
        <v>South</v>
      </c>
      <c r="P276" s="14" t="str">
        <f t="shared" si="2"/>
        <v>Furniture</v>
      </c>
    </row>
    <row r="277">
      <c r="B277" s="6" t="s">
        <v>313</v>
      </c>
      <c r="C277" s="6" t="s">
        <v>20</v>
      </c>
      <c r="D277" s="6" t="s">
        <v>15</v>
      </c>
      <c r="E277" s="6" t="s">
        <v>27</v>
      </c>
      <c r="F277" s="6" t="s">
        <v>28</v>
      </c>
      <c r="G277" s="6" t="s">
        <v>18</v>
      </c>
      <c r="H277" s="7">
        <v>45198.0</v>
      </c>
      <c r="I277" s="8">
        <v>404.0</v>
      </c>
      <c r="J277" s="8">
        <v>270.0</v>
      </c>
      <c r="K277" s="8">
        <v>156.29</v>
      </c>
      <c r="O277" s="14" t="str">
        <f t="shared" si="1"/>
        <v>West</v>
      </c>
      <c r="P277" s="14" t="str">
        <f t="shared" si="2"/>
        <v>Clothing</v>
      </c>
    </row>
    <row r="278">
      <c r="B278" s="6" t="s">
        <v>314</v>
      </c>
      <c r="C278" s="6" t="s">
        <v>20</v>
      </c>
      <c r="D278" s="6" t="s">
        <v>31</v>
      </c>
      <c r="E278" s="6" t="s">
        <v>27</v>
      </c>
      <c r="F278" s="6" t="s">
        <v>28</v>
      </c>
      <c r="G278" s="6" t="s">
        <v>18</v>
      </c>
      <c r="H278" s="7">
        <v>45199.0</v>
      </c>
      <c r="I278" s="8">
        <v>73.0</v>
      </c>
      <c r="J278" s="8">
        <v>93.33</v>
      </c>
      <c r="K278" s="8">
        <v>162.13</v>
      </c>
      <c r="O278" s="14" t="str">
        <f t="shared" si="1"/>
        <v>West</v>
      </c>
      <c r="P278" s="14" t="str">
        <f t="shared" si="2"/>
        <v>Clothing</v>
      </c>
    </row>
    <row r="279">
      <c r="B279" s="6" t="s">
        <v>315</v>
      </c>
      <c r="C279" s="6" t="s">
        <v>20</v>
      </c>
      <c r="D279" s="6" t="s">
        <v>21</v>
      </c>
      <c r="E279" s="6" t="s">
        <v>16</v>
      </c>
      <c r="F279" s="6" t="s">
        <v>17</v>
      </c>
      <c r="G279" s="6" t="s">
        <v>33</v>
      </c>
      <c r="H279" s="7">
        <v>45200.0</v>
      </c>
      <c r="I279" s="8">
        <v>214.0</v>
      </c>
      <c r="J279" s="8">
        <v>159.57</v>
      </c>
      <c r="K279" s="8">
        <v>349.96</v>
      </c>
      <c r="O279" s="14" t="str">
        <f t="shared" si="1"/>
        <v>West</v>
      </c>
      <c r="P279" s="14" t="str">
        <f t="shared" si="2"/>
        <v>Beverages</v>
      </c>
    </row>
    <row r="280">
      <c r="B280" s="6" t="s">
        <v>316</v>
      </c>
      <c r="C280" s="6" t="s">
        <v>26</v>
      </c>
      <c r="D280" s="6" t="s">
        <v>63</v>
      </c>
      <c r="E280" s="6" t="s">
        <v>16</v>
      </c>
      <c r="F280" s="6" t="s">
        <v>28</v>
      </c>
      <c r="G280" s="6" t="s">
        <v>23</v>
      </c>
      <c r="H280" s="7">
        <v>45201.0</v>
      </c>
      <c r="I280" s="8">
        <v>218.0</v>
      </c>
      <c r="J280" s="8">
        <v>118.97</v>
      </c>
      <c r="K280" s="8">
        <v>205.02</v>
      </c>
      <c r="O280" s="14" t="str">
        <f t="shared" si="1"/>
        <v>North</v>
      </c>
      <c r="P280" s="14" t="str">
        <f t="shared" si="2"/>
        <v>Beverages</v>
      </c>
    </row>
    <row r="281">
      <c r="B281" s="6" t="s">
        <v>317</v>
      </c>
      <c r="C281" s="6" t="s">
        <v>20</v>
      </c>
      <c r="D281" s="6" t="s">
        <v>15</v>
      </c>
      <c r="E281" s="6" t="s">
        <v>55</v>
      </c>
      <c r="F281" s="6" t="s">
        <v>28</v>
      </c>
      <c r="G281" s="6" t="s">
        <v>18</v>
      </c>
      <c r="H281" s="7">
        <v>45202.0</v>
      </c>
      <c r="I281" s="8">
        <v>81.0</v>
      </c>
      <c r="J281" s="8">
        <v>107.06</v>
      </c>
      <c r="K281" s="8">
        <v>289.92</v>
      </c>
      <c r="O281" s="14" t="str">
        <f t="shared" si="1"/>
        <v>West</v>
      </c>
      <c r="P281" s="14" t="str">
        <f t="shared" si="2"/>
        <v>Electronics</v>
      </c>
    </row>
    <row r="282">
      <c r="B282" s="6" t="s">
        <v>318</v>
      </c>
      <c r="C282" s="6" t="s">
        <v>26</v>
      </c>
      <c r="D282" s="6" t="s">
        <v>21</v>
      </c>
      <c r="E282" s="6" t="s">
        <v>55</v>
      </c>
      <c r="F282" s="6" t="s">
        <v>28</v>
      </c>
      <c r="G282" s="6" t="s">
        <v>23</v>
      </c>
      <c r="H282" s="7">
        <v>45203.0</v>
      </c>
      <c r="I282" s="8">
        <v>286.0</v>
      </c>
      <c r="J282" s="8">
        <v>320.79</v>
      </c>
      <c r="K282" s="8">
        <v>43.45</v>
      </c>
      <c r="O282" s="14" t="str">
        <f t="shared" si="1"/>
        <v>North</v>
      </c>
      <c r="P282" s="14" t="str">
        <f t="shared" si="2"/>
        <v>Electronics</v>
      </c>
    </row>
    <row r="283">
      <c r="B283" s="6" t="s">
        <v>319</v>
      </c>
      <c r="C283" s="6" t="s">
        <v>61</v>
      </c>
      <c r="D283" s="6" t="s">
        <v>63</v>
      </c>
      <c r="E283" s="6" t="s">
        <v>16</v>
      </c>
      <c r="F283" s="6" t="s">
        <v>17</v>
      </c>
      <c r="G283" s="6" t="s">
        <v>18</v>
      </c>
      <c r="H283" s="7">
        <v>45204.0</v>
      </c>
      <c r="I283" s="8">
        <v>283.0</v>
      </c>
      <c r="J283" s="8">
        <v>132.16</v>
      </c>
      <c r="K283" s="8">
        <v>91.72</v>
      </c>
      <c r="O283" s="14" t="str">
        <f t="shared" si="1"/>
        <v>South</v>
      </c>
      <c r="P283" s="14" t="str">
        <f t="shared" si="2"/>
        <v>Beverages</v>
      </c>
    </row>
    <row r="284">
      <c r="B284" s="6" t="s">
        <v>320</v>
      </c>
      <c r="C284" s="6" t="s">
        <v>26</v>
      </c>
      <c r="D284" s="6" t="s">
        <v>21</v>
      </c>
      <c r="E284" s="6" t="s">
        <v>16</v>
      </c>
      <c r="F284" s="6" t="s">
        <v>17</v>
      </c>
      <c r="G284" s="6" t="s">
        <v>18</v>
      </c>
      <c r="H284" s="7">
        <v>45205.0</v>
      </c>
      <c r="I284" s="8">
        <v>487.0</v>
      </c>
      <c r="J284" s="8">
        <v>317.85</v>
      </c>
      <c r="K284" s="8">
        <v>281.77</v>
      </c>
      <c r="O284" s="14" t="str">
        <f t="shared" si="1"/>
        <v>North</v>
      </c>
      <c r="P284" s="14" t="str">
        <f t="shared" si="2"/>
        <v>Beverages</v>
      </c>
    </row>
    <row r="285">
      <c r="B285" s="6" t="s">
        <v>321</v>
      </c>
      <c r="C285" s="6" t="s">
        <v>61</v>
      </c>
      <c r="D285" s="6" t="s">
        <v>39</v>
      </c>
      <c r="E285" s="6" t="s">
        <v>22</v>
      </c>
      <c r="F285" s="6" t="s">
        <v>28</v>
      </c>
      <c r="G285" s="6" t="s">
        <v>23</v>
      </c>
      <c r="H285" s="7">
        <v>45206.0</v>
      </c>
      <c r="I285" s="8">
        <v>329.0</v>
      </c>
      <c r="J285" s="8">
        <v>33.94</v>
      </c>
      <c r="K285" s="8">
        <v>23.02</v>
      </c>
      <c r="O285" s="14" t="str">
        <f t="shared" si="1"/>
        <v>South</v>
      </c>
      <c r="P285" s="14" t="str">
        <f t="shared" si="2"/>
        <v>Food</v>
      </c>
    </row>
    <row r="286">
      <c r="B286" s="6" t="s">
        <v>322</v>
      </c>
      <c r="C286" s="6" t="s">
        <v>20</v>
      </c>
      <c r="D286" s="6" t="s">
        <v>21</v>
      </c>
      <c r="E286" s="6" t="s">
        <v>27</v>
      </c>
      <c r="F286" s="6" t="s">
        <v>17</v>
      </c>
      <c r="G286" s="6" t="s">
        <v>33</v>
      </c>
      <c r="H286" s="7">
        <v>45207.0</v>
      </c>
      <c r="I286" s="8">
        <v>347.0</v>
      </c>
      <c r="J286" s="8">
        <v>75.18</v>
      </c>
      <c r="K286" s="8">
        <v>195.67</v>
      </c>
      <c r="O286" s="14" t="str">
        <f t="shared" si="1"/>
        <v>West</v>
      </c>
      <c r="P286" s="14" t="str">
        <f t="shared" si="2"/>
        <v>Clothing</v>
      </c>
    </row>
    <row r="287">
      <c r="B287" s="6" t="s">
        <v>323</v>
      </c>
      <c r="C287" s="6" t="s">
        <v>20</v>
      </c>
      <c r="D287" s="6" t="s">
        <v>21</v>
      </c>
      <c r="E287" s="6" t="s">
        <v>55</v>
      </c>
      <c r="F287" s="6" t="s">
        <v>28</v>
      </c>
      <c r="G287" s="6" t="s">
        <v>18</v>
      </c>
      <c r="H287" s="7">
        <v>45208.0</v>
      </c>
      <c r="I287" s="8">
        <v>375.0</v>
      </c>
      <c r="J287" s="8">
        <v>140.9</v>
      </c>
      <c r="K287" s="8">
        <v>240.55</v>
      </c>
      <c r="O287" s="14" t="str">
        <f t="shared" si="1"/>
        <v>West</v>
      </c>
      <c r="P287" s="14" t="str">
        <f t="shared" si="2"/>
        <v>Electronics</v>
      </c>
    </row>
    <row r="288">
      <c r="B288" s="6" t="s">
        <v>324</v>
      </c>
      <c r="C288" s="6" t="s">
        <v>61</v>
      </c>
      <c r="D288" s="6" t="s">
        <v>21</v>
      </c>
      <c r="E288" s="6" t="s">
        <v>27</v>
      </c>
      <c r="F288" s="6" t="s">
        <v>17</v>
      </c>
      <c r="G288" s="6" t="s">
        <v>18</v>
      </c>
      <c r="H288" s="7">
        <v>45209.0</v>
      </c>
      <c r="I288" s="8">
        <v>104.0</v>
      </c>
      <c r="J288" s="8">
        <v>300.54</v>
      </c>
      <c r="K288" s="8">
        <v>241.65</v>
      </c>
      <c r="O288" s="14" t="str">
        <f t="shared" si="1"/>
        <v>South</v>
      </c>
      <c r="P288" s="14" t="str">
        <f t="shared" si="2"/>
        <v>Clothing</v>
      </c>
    </row>
    <row r="289">
      <c r="B289" s="6" t="s">
        <v>325</v>
      </c>
      <c r="C289" s="6" t="s">
        <v>14</v>
      </c>
      <c r="D289" s="6" t="s">
        <v>15</v>
      </c>
      <c r="E289" s="6"/>
      <c r="F289" s="6" t="s">
        <v>17</v>
      </c>
      <c r="G289" s="6" t="s">
        <v>18</v>
      </c>
      <c r="H289" s="7">
        <v>45210.0</v>
      </c>
      <c r="I289" s="8">
        <v>175.0</v>
      </c>
      <c r="J289" s="8">
        <v>339.54</v>
      </c>
      <c r="K289" s="8">
        <v>11.13</v>
      </c>
      <c r="O289" s="14" t="str">
        <f t="shared" si="1"/>
        <v>East</v>
      </c>
      <c r="P289" s="14" t="str">
        <f t="shared" si="2"/>
        <v>Beverages</v>
      </c>
    </row>
    <row r="290">
      <c r="B290" s="6" t="s">
        <v>326</v>
      </c>
      <c r="C290" s="6" t="s">
        <v>61</v>
      </c>
      <c r="D290" s="6" t="s">
        <v>21</v>
      </c>
      <c r="E290" s="6" t="s">
        <v>16</v>
      </c>
      <c r="F290" s="6" t="s">
        <v>17</v>
      </c>
      <c r="G290" s="6" t="s">
        <v>23</v>
      </c>
      <c r="H290" s="7">
        <v>45211.0</v>
      </c>
      <c r="I290" s="8">
        <v>41.0</v>
      </c>
      <c r="J290" s="8">
        <v>224.14</v>
      </c>
      <c r="K290" s="8">
        <v>130.2</v>
      </c>
      <c r="O290" s="14" t="str">
        <f t="shared" si="1"/>
        <v>South</v>
      </c>
      <c r="P290" s="14" t="str">
        <f t="shared" si="2"/>
        <v>Beverages</v>
      </c>
    </row>
    <row r="291">
      <c r="B291" s="6" t="s">
        <v>327</v>
      </c>
      <c r="C291" s="6" t="s">
        <v>14</v>
      </c>
      <c r="D291" s="6" t="s">
        <v>63</v>
      </c>
      <c r="E291" s="6" t="s">
        <v>22</v>
      </c>
      <c r="F291" s="6" t="s">
        <v>17</v>
      </c>
      <c r="G291" s="6" t="s">
        <v>33</v>
      </c>
      <c r="H291" s="7">
        <v>45212.0</v>
      </c>
      <c r="I291" s="8">
        <v>20.0</v>
      </c>
      <c r="J291" s="8">
        <v>225.67</v>
      </c>
      <c r="K291" s="8">
        <v>255.32</v>
      </c>
      <c r="O291" s="14" t="str">
        <f t="shared" si="1"/>
        <v>East</v>
      </c>
      <c r="P291" s="14" t="str">
        <f t="shared" si="2"/>
        <v>Food</v>
      </c>
    </row>
    <row r="292">
      <c r="B292" s="6" t="s">
        <v>328</v>
      </c>
      <c r="C292" s="6" t="s">
        <v>26</v>
      </c>
      <c r="D292" s="6" t="s">
        <v>39</v>
      </c>
      <c r="E292" s="6" t="s">
        <v>32</v>
      </c>
      <c r="F292" s="6" t="s">
        <v>28</v>
      </c>
      <c r="G292" s="6" t="s">
        <v>23</v>
      </c>
      <c r="H292" s="7">
        <v>45213.0</v>
      </c>
      <c r="I292" s="8">
        <v>310.0</v>
      </c>
      <c r="J292" s="8">
        <v>363.64</v>
      </c>
      <c r="K292" s="8">
        <v>61.3</v>
      </c>
      <c r="O292" s="14" t="str">
        <f t="shared" si="1"/>
        <v>North</v>
      </c>
      <c r="P292" s="14" t="str">
        <f t="shared" si="2"/>
        <v>Furniture</v>
      </c>
    </row>
    <row r="293">
      <c r="B293" s="6" t="s">
        <v>329</v>
      </c>
      <c r="C293" s="6" t="s">
        <v>26</v>
      </c>
      <c r="D293" s="6" t="s">
        <v>39</v>
      </c>
      <c r="E293" s="6" t="s">
        <v>22</v>
      </c>
      <c r="F293" s="6" t="s">
        <v>28</v>
      </c>
      <c r="G293" s="6" t="s">
        <v>23</v>
      </c>
      <c r="H293" s="7">
        <v>45214.0</v>
      </c>
      <c r="I293" s="8">
        <v>226.0</v>
      </c>
      <c r="J293" s="6"/>
      <c r="K293" s="8">
        <v>278.78</v>
      </c>
      <c r="O293" s="14" t="str">
        <f t="shared" si="1"/>
        <v>North</v>
      </c>
      <c r="P293" s="14" t="str">
        <f t="shared" si="2"/>
        <v>Food</v>
      </c>
    </row>
    <row r="294">
      <c r="B294" s="6" t="s">
        <v>330</v>
      </c>
      <c r="C294" s="6" t="s">
        <v>26</v>
      </c>
      <c r="D294" s="6" t="s">
        <v>21</v>
      </c>
      <c r="E294" s="6" t="s">
        <v>22</v>
      </c>
      <c r="F294" s="6" t="s">
        <v>28</v>
      </c>
      <c r="G294" s="6" t="s">
        <v>33</v>
      </c>
      <c r="H294" s="7">
        <v>45215.0</v>
      </c>
      <c r="I294" s="6"/>
      <c r="J294" s="8">
        <v>173.84</v>
      </c>
      <c r="K294" s="8">
        <v>298.88</v>
      </c>
      <c r="O294" s="14" t="str">
        <f t="shared" si="1"/>
        <v>North</v>
      </c>
      <c r="P294" s="14" t="str">
        <f t="shared" si="2"/>
        <v>Food</v>
      </c>
    </row>
    <row r="295">
      <c r="B295" s="6" t="s">
        <v>331</v>
      </c>
      <c r="C295" s="6" t="s">
        <v>20</v>
      </c>
      <c r="D295" s="6" t="s">
        <v>15</v>
      </c>
      <c r="E295" s="6" t="s">
        <v>27</v>
      </c>
      <c r="F295" s="6" t="s">
        <v>17</v>
      </c>
      <c r="G295" s="6" t="s">
        <v>23</v>
      </c>
      <c r="H295" s="7">
        <v>45216.0</v>
      </c>
      <c r="I295" s="8">
        <v>111.0</v>
      </c>
      <c r="J295" s="8">
        <v>410.26</v>
      </c>
      <c r="K295" s="8">
        <v>392.82</v>
      </c>
      <c r="O295" s="14" t="str">
        <f t="shared" si="1"/>
        <v>West</v>
      </c>
      <c r="P295" s="14" t="str">
        <f t="shared" si="2"/>
        <v>Clothing</v>
      </c>
    </row>
    <row r="296">
      <c r="B296" s="6" t="s">
        <v>332</v>
      </c>
      <c r="C296" s="6" t="s">
        <v>26</v>
      </c>
      <c r="D296" s="6" t="s">
        <v>15</v>
      </c>
      <c r="E296" s="6" t="s">
        <v>22</v>
      </c>
      <c r="F296" s="6" t="s">
        <v>28</v>
      </c>
      <c r="G296" s="6" t="s">
        <v>33</v>
      </c>
      <c r="H296" s="7">
        <v>45217.0</v>
      </c>
      <c r="I296" s="8">
        <v>434.0</v>
      </c>
      <c r="J296" s="8">
        <v>303.59</v>
      </c>
      <c r="K296" s="8">
        <v>85.52</v>
      </c>
      <c r="O296" s="14" t="str">
        <f t="shared" si="1"/>
        <v>North</v>
      </c>
      <c r="P296" s="14" t="str">
        <f t="shared" si="2"/>
        <v>Food</v>
      </c>
    </row>
    <row r="297">
      <c r="B297" s="6" t="s">
        <v>333</v>
      </c>
      <c r="C297" s="6" t="s">
        <v>14</v>
      </c>
      <c r="D297" s="6" t="s">
        <v>63</v>
      </c>
      <c r="E297" s="6" t="s">
        <v>55</v>
      </c>
      <c r="F297" s="6" t="s">
        <v>28</v>
      </c>
      <c r="G297" s="6" t="s">
        <v>18</v>
      </c>
      <c r="H297" s="7">
        <v>45218.0</v>
      </c>
      <c r="I297" s="8">
        <v>401.0</v>
      </c>
      <c r="J297" s="8">
        <v>171.93</v>
      </c>
      <c r="K297" s="8">
        <v>330.4</v>
      </c>
      <c r="O297" s="14" t="str">
        <f t="shared" si="1"/>
        <v>East</v>
      </c>
      <c r="P297" s="14" t="str">
        <f t="shared" si="2"/>
        <v>Electronics</v>
      </c>
    </row>
    <row r="298">
      <c r="B298" s="6" t="s">
        <v>334</v>
      </c>
      <c r="C298" s="6" t="s">
        <v>26</v>
      </c>
      <c r="D298" s="6" t="s">
        <v>21</v>
      </c>
      <c r="E298" s="6" t="s">
        <v>27</v>
      </c>
      <c r="F298" s="6" t="s">
        <v>28</v>
      </c>
      <c r="G298" s="6" t="s">
        <v>33</v>
      </c>
      <c r="H298" s="7">
        <v>45219.0</v>
      </c>
      <c r="I298" s="8">
        <v>276.0</v>
      </c>
      <c r="J298" s="8">
        <v>453.23</v>
      </c>
      <c r="K298" s="8">
        <v>209.08</v>
      </c>
      <c r="O298" s="14" t="str">
        <f t="shared" si="1"/>
        <v>North</v>
      </c>
      <c r="P298" s="14" t="str">
        <f t="shared" si="2"/>
        <v>Clothing</v>
      </c>
    </row>
    <row r="299">
      <c r="B299" s="6" t="s">
        <v>335</v>
      </c>
      <c r="C299" s="6" t="s">
        <v>61</v>
      </c>
      <c r="D299" s="6" t="s">
        <v>39</v>
      </c>
      <c r="E299" s="6" t="s">
        <v>55</v>
      </c>
      <c r="F299" s="6" t="s">
        <v>17</v>
      </c>
      <c r="G299" s="6" t="s">
        <v>18</v>
      </c>
      <c r="H299" s="7">
        <v>45220.0</v>
      </c>
      <c r="I299" s="6"/>
      <c r="J299" s="8">
        <v>387.45</v>
      </c>
      <c r="K299" s="8">
        <v>150.64</v>
      </c>
      <c r="O299" s="14" t="str">
        <f t="shared" si="1"/>
        <v>South</v>
      </c>
      <c r="P299" s="14" t="str">
        <f t="shared" si="2"/>
        <v>Electronics</v>
      </c>
    </row>
    <row r="300">
      <c r="B300" s="6" t="s">
        <v>336</v>
      </c>
      <c r="C300" s="6" t="s">
        <v>61</v>
      </c>
      <c r="D300" s="6" t="s">
        <v>15</v>
      </c>
      <c r="E300" s="6" t="s">
        <v>32</v>
      </c>
      <c r="F300" s="6" t="s">
        <v>17</v>
      </c>
      <c r="G300" s="6" t="s">
        <v>23</v>
      </c>
      <c r="H300" s="7">
        <v>45221.0</v>
      </c>
      <c r="I300" s="8">
        <v>188.0</v>
      </c>
      <c r="J300" s="8">
        <v>136.12</v>
      </c>
      <c r="K300" s="8">
        <v>50.71</v>
      </c>
      <c r="O300" s="14" t="str">
        <f t="shared" si="1"/>
        <v>South</v>
      </c>
      <c r="P300" s="14" t="str">
        <f t="shared" si="2"/>
        <v>Furniture</v>
      </c>
    </row>
    <row r="301">
      <c r="B301" s="6" t="s">
        <v>337</v>
      </c>
      <c r="C301" s="6" t="s">
        <v>20</v>
      </c>
      <c r="D301" s="6" t="s">
        <v>21</v>
      </c>
      <c r="E301" s="6" t="s">
        <v>27</v>
      </c>
      <c r="F301" s="6" t="s">
        <v>17</v>
      </c>
      <c r="G301" s="6" t="s">
        <v>23</v>
      </c>
      <c r="H301" s="7">
        <v>45222.0</v>
      </c>
      <c r="I301" s="8">
        <v>97.0</v>
      </c>
      <c r="J301" s="8">
        <v>324.42</v>
      </c>
      <c r="K301" s="8">
        <v>294.73</v>
      </c>
      <c r="O301" s="14" t="str">
        <f t="shared" si="1"/>
        <v>West</v>
      </c>
      <c r="P301" s="14" t="str">
        <f t="shared" si="2"/>
        <v>Clothing</v>
      </c>
    </row>
    <row r="302">
      <c r="B302" s="6" t="s">
        <v>338</v>
      </c>
      <c r="C302" s="6" t="s">
        <v>61</v>
      </c>
      <c r="D302" s="6" t="s">
        <v>15</v>
      </c>
      <c r="E302" s="6" t="s">
        <v>32</v>
      </c>
      <c r="F302" s="6" t="s">
        <v>28</v>
      </c>
      <c r="G302" s="6" t="s">
        <v>18</v>
      </c>
      <c r="H302" s="7">
        <v>45223.0</v>
      </c>
      <c r="I302" s="8">
        <v>50.0</v>
      </c>
      <c r="J302" s="8">
        <v>299.9</v>
      </c>
      <c r="K302" s="8">
        <v>95.87</v>
      </c>
      <c r="O302" s="14" t="str">
        <f t="shared" si="1"/>
        <v>South</v>
      </c>
      <c r="P302" s="14" t="str">
        <f t="shared" si="2"/>
        <v>Furniture</v>
      </c>
    </row>
    <row r="303">
      <c r="B303" s="6" t="s">
        <v>339</v>
      </c>
      <c r="C303" s="6" t="s">
        <v>14</v>
      </c>
      <c r="D303" s="6" t="s">
        <v>15</v>
      </c>
      <c r="E303" s="6" t="s">
        <v>27</v>
      </c>
      <c r="F303" s="6" t="s">
        <v>28</v>
      </c>
      <c r="G303" s="6" t="s">
        <v>23</v>
      </c>
      <c r="H303" s="7">
        <v>45224.0</v>
      </c>
      <c r="I303" s="8">
        <v>410.0</v>
      </c>
      <c r="J303" s="8">
        <v>203.59</v>
      </c>
      <c r="K303" s="8">
        <v>149.83</v>
      </c>
      <c r="O303" s="14" t="str">
        <f t="shared" si="1"/>
        <v>East</v>
      </c>
      <c r="P303" s="14" t="str">
        <f t="shared" si="2"/>
        <v>Clothing</v>
      </c>
    </row>
    <row r="304">
      <c r="B304" s="6" t="s">
        <v>340</v>
      </c>
      <c r="C304" s="6" t="s">
        <v>26</v>
      </c>
      <c r="D304" s="6" t="s">
        <v>39</v>
      </c>
      <c r="E304" s="6" t="s">
        <v>16</v>
      </c>
      <c r="F304" s="6" t="s">
        <v>28</v>
      </c>
      <c r="G304" s="6" t="s">
        <v>33</v>
      </c>
      <c r="H304" s="7">
        <v>45225.0</v>
      </c>
      <c r="I304" s="8">
        <v>85.0</v>
      </c>
      <c r="J304" s="8">
        <v>186.64</v>
      </c>
      <c r="K304" s="8">
        <v>26.89</v>
      </c>
      <c r="O304" s="14" t="str">
        <f t="shared" si="1"/>
        <v>North</v>
      </c>
      <c r="P304" s="14" t="str">
        <f t="shared" si="2"/>
        <v>Beverages</v>
      </c>
    </row>
    <row r="305">
      <c r="B305" s="6" t="s">
        <v>341</v>
      </c>
      <c r="C305" s="6" t="s">
        <v>20</v>
      </c>
      <c r="D305" s="6" t="s">
        <v>31</v>
      </c>
      <c r="E305" s="6" t="s">
        <v>22</v>
      </c>
      <c r="F305" s="6" t="s">
        <v>17</v>
      </c>
      <c r="G305" s="6" t="s">
        <v>18</v>
      </c>
      <c r="H305" s="7">
        <v>45226.0</v>
      </c>
      <c r="I305" s="8">
        <v>386.0</v>
      </c>
      <c r="J305" s="8">
        <v>175.06</v>
      </c>
      <c r="K305" s="8">
        <v>320.94</v>
      </c>
      <c r="O305" s="14" t="str">
        <f t="shared" si="1"/>
        <v>West</v>
      </c>
      <c r="P305" s="14" t="str">
        <f t="shared" si="2"/>
        <v>Food</v>
      </c>
    </row>
    <row r="306">
      <c r="B306" s="6" t="s">
        <v>342</v>
      </c>
      <c r="C306" s="6" t="s">
        <v>26</v>
      </c>
      <c r="D306" s="6" t="s">
        <v>63</v>
      </c>
      <c r="E306" s="6" t="s">
        <v>16</v>
      </c>
      <c r="F306" s="6" t="s">
        <v>17</v>
      </c>
      <c r="G306" s="6" t="s">
        <v>23</v>
      </c>
      <c r="H306" s="7">
        <v>45227.0</v>
      </c>
      <c r="I306" s="8">
        <v>55.0</v>
      </c>
      <c r="J306" s="8">
        <v>310.49</v>
      </c>
      <c r="K306" s="8">
        <v>307.1</v>
      </c>
      <c r="O306" s="14" t="str">
        <f t="shared" si="1"/>
        <v>North</v>
      </c>
      <c r="P306" s="14" t="str">
        <f t="shared" si="2"/>
        <v>Beverages</v>
      </c>
    </row>
    <row r="307">
      <c r="B307" s="6" t="s">
        <v>343</v>
      </c>
      <c r="C307" s="6" t="s">
        <v>26</v>
      </c>
      <c r="D307" s="6" t="s">
        <v>63</v>
      </c>
      <c r="E307" s="6" t="s">
        <v>32</v>
      </c>
      <c r="F307" s="6" t="s">
        <v>28</v>
      </c>
      <c r="G307" s="6" t="s">
        <v>18</v>
      </c>
      <c r="H307" s="7">
        <v>45228.0</v>
      </c>
      <c r="I307" s="8">
        <v>169.0</v>
      </c>
      <c r="J307" s="8">
        <v>223.99</v>
      </c>
      <c r="K307" s="8">
        <v>293.98</v>
      </c>
      <c r="O307" s="14" t="str">
        <f t="shared" si="1"/>
        <v>North</v>
      </c>
      <c r="P307" s="14" t="str">
        <f t="shared" si="2"/>
        <v>Furniture</v>
      </c>
    </row>
    <row r="308">
      <c r="B308" s="6" t="s">
        <v>344</v>
      </c>
      <c r="C308" s="6" t="s">
        <v>14</v>
      </c>
      <c r="D308" s="6" t="s">
        <v>39</v>
      </c>
      <c r="E308" s="6" t="s">
        <v>22</v>
      </c>
      <c r="F308" s="6" t="s">
        <v>17</v>
      </c>
      <c r="G308" s="6" t="s">
        <v>33</v>
      </c>
      <c r="H308" s="7">
        <v>45229.0</v>
      </c>
      <c r="I308" s="8">
        <v>472.0</v>
      </c>
      <c r="J308" s="8">
        <v>416.77</v>
      </c>
      <c r="K308" s="8">
        <v>121.18</v>
      </c>
      <c r="O308" s="14" t="str">
        <f t="shared" si="1"/>
        <v>East</v>
      </c>
      <c r="P308" s="14" t="str">
        <f t="shared" si="2"/>
        <v>Food</v>
      </c>
    </row>
    <row r="309">
      <c r="B309" s="6" t="s">
        <v>345</v>
      </c>
      <c r="C309" s="6" t="s">
        <v>61</v>
      </c>
      <c r="D309" s="6" t="s">
        <v>15</v>
      </c>
      <c r="E309" s="6" t="s">
        <v>27</v>
      </c>
      <c r="F309" s="6" t="s">
        <v>17</v>
      </c>
      <c r="G309" s="6" t="s">
        <v>33</v>
      </c>
      <c r="H309" s="7">
        <v>45230.0</v>
      </c>
      <c r="I309" s="8">
        <v>89.0</v>
      </c>
      <c r="J309" s="8">
        <v>336.45</v>
      </c>
      <c r="K309" s="8">
        <v>71.05</v>
      </c>
      <c r="O309" s="14" t="str">
        <f t="shared" si="1"/>
        <v>South</v>
      </c>
      <c r="P309" s="14" t="str">
        <f t="shared" si="2"/>
        <v>Clothing</v>
      </c>
    </row>
    <row r="310">
      <c r="B310" s="6" t="s">
        <v>346</v>
      </c>
      <c r="C310" s="6" t="s">
        <v>61</v>
      </c>
      <c r="D310" s="6" t="s">
        <v>21</v>
      </c>
      <c r="E310" s="6" t="s">
        <v>22</v>
      </c>
      <c r="F310" s="6" t="s">
        <v>17</v>
      </c>
      <c r="G310" s="6" t="s">
        <v>23</v>
      </c>
      <c r="H310" s="7">
        <v>45231.0</v>
      </c>
      <c r="I310" s="8">
        <v>319.0</v>
      </c>
      <c r="J310" s="8">
        <v>39.62</v>
      </c>
      <c r="K310" s="8">
        <v>255.75</v>
      </c>
      <c r="O310" s="14" t="str">
        <f t="shared" si="1"/>
        <v>South</v>
      </c>
      <c r="P310" s="14" t="str">
        <f t="shared" si="2"/>
        <v>Food</v>
      </c>
    </row>
    <row r="311">
      <c r="B311" s="6" t="s">
        <v>347</v>
      </c>
      <c r="C311" s="6" t="s">
        <v>26</v>
      </c>
      <c r="D311" s="6" t="s">
        <v>15</v>
      </c>
      <c r="E311" s="6"/>
      <c r="F311" s="6" t="s">
        <v>17</v>
      </c>
      <c r="G311" s="6" t="s">
        <v>33</v>
      </c>
      <c r="H311" s="7">
        <v>45232.0</v>
      </c>
      <c r="I311" s="8">
        <v>95.0</v>
      </c>
      <c r="J311" s="8">
        <v>321.88</v>
      </c>
      <c r="K311" s="8">
        <v>199.47</v>
      </c>
      <c r="O311" s="14" t="str">
        <f t="shared" si="1"/>
        <v>North</v>
      </c>
      <c r="P311" s="14" t="str">
        <f t="shared" si="2"/>
        <v>Beverages</v>
      </c>
    </row>
    <row r="312">
      <c r="B312" s="6" t="s">
        <v>348</v>
      </c>
      <c r="C312" s="6" t="s">
        <v>20</v>
      </c>
      <c r="D312" s="6" t="s">
        <v>39</v>
      </c>
      <c r="E312" s="6"/>
      <c r="F312" s="6" t="s">
        <v>28</v>
      </c>
      <c r="G312" s="6" t="s">
        <v>18</v>
      </c>
      <c r="H312" s="7">
        <v>45233.0</v>
      </c>
      <c r="I312" s="8">
        <v>101.0</v>
      </c>
      <c r="J312" s="8">
        <v>139.22</v>
      </c>
      <c r="K312" s="8">
        <v>72.94</v>
      </c>
      <c r="O312" s="14" t="str">
        <f t="shared" si="1"/>
        <v>West</v>
      </c>
      <c r="P312" s="14" t="str">
        <f t="shared" si="2"/>
        <v>Beverages</v>
      </c>
    </row>
    <row r="313">
      <c r="B313" s="6" t="s">
        <v>349</v>
      </c>
      <c r="C313" s="6" t="s">
        <v>61</v>
      </c>
      <c r="D313" s="6" t="s">
        <v>63</v>
      </c>
      <c r="E313" s="6"/>
      <c r="F313" s="6" t="s">
        <v>17</v>
      </c>
      <c r="G313" s="6" t="s">
        <v>33</v>
      </c>
      <c r="H313" s="7">
        <v>45234.0</v>
      </c>
      <c r="I313" s="8">
        <v>157.0</v>
      </c>
      <c r="J313" s="6"/>
      <c r="K313" s="8">
        <v>274.99</v>
      </c>
      <c r="O313" s="14" t="str">
        <f t="shared" si="1"/>
        <v>South</v>
      </c>
      <c r="P313" s="14" t="str">
        <f t="shared" si="2"/>
        <v>Beverages</v>
      </c>
    </row>
    <row r="314">
      <c r="B314" s="6" t="s">
        <v>350</v>
      </c>
      <c r="C314" s="6" t="s">
        <v>20</v>
      </c>
      <c r="D314" s="6" t="s">
        <v>15</v>
      </c>
      <c r="E314" s="6" t="s">
        <v>22</v>
      </c>
      <c r="F314" s="6" t="s">
        <v>17</v>
      </c>
      <c r="G314" s="6" t="s">
        <v>18</v>
      </c>
      <c r="H314" s="7">
        <v>45235.0</v>
      </c>
      <c r="I314" s="8">
        <v>170.0</v>
      </c>
      <c r="J314" s="8">
        <v>341.67</v>
      </c>
      <c r="K314" s="8">
        <v>396.47</v>
      </c>
      <c r="O314" s="14" t="str">
        <f t="shared" si="1"/>
        <v>West</v>
      </c>
      <c r="P314" s="14" t="str">
        <f t="shared" si="2"/>
        <v>Food</v>
      </c>
    </row>
    <row r="315">
      <c r="B315" s="6" t="s">
        <v>351</v>
      </c>
      <c r="C315" s="6" t="s">
        <v>61</v>
      </c>
      <c r="D315" s="6" t="s">
        <v>63</v>
      </c>
      <c r="E315" s="6" t="s">
        <v>55</v>
      </c>
      <c r="F315" s="6" t="s">
        <v>17</v>
      </c>
      <c r="G315" s="6" t="s">
        <v>18</v>
      </c>
      <c r="H315" s="7">
        <v>45236.0</v>
      </c>
      <c r="I315" s="8">
        <v>211.0</v>
      </c>
      <c r="J315" s="8">
        <v>119.26</v>
      </c>
      <c r="K315" s="8">
        <v>299.39</v>
      </c>
      <c r="O315" s="14" t="str">
        <f t="shared" si="1"/>
        <v>South</v>
      </c>
      <c r="P315" s="14" t="str">
        <f t="shared" si="2"/>
        <v>Electronics</v>
      </c>
    </row>
    <row r="316">
      <c r="B316" s="6" t="s">
        <v>352</v>
      </c>
      <c r="C316" s="6" t="s">
        <v>20</v>
      </c>
      <c r="D316" s="6" t="s">
        <v>21</v>
      </c>
      <c r="E316" s="6" t="s">
        <v>32</v>
      </c>
      <c r="F316" s="6" t="s">
        <v>17</v>
      </c>
      <c r="G316" s="6" t="s">
        <v>33</v>
      </c>
      <c r="H316" s="7">
        <v>45237.0</v>
      </c>
      <c r="I316" s="8">
        <v>433.0</v>
      </c>
      <c r="J316" s="8">
        <v>231.15</v>
      </c>
      <c r="K316" s="8">
        <v>296.51</v>
      </c>
      <c r="O316" s="14" t="str">
        <f t="shared" si="1"/>
        <v>West</v>
      </c>
      <c r="P316" s="14" t="str">
        <f t="shared" si="2"/>
        <v>Furniture</v>
      </c>
    </row>
    <row r="317">
      <c r="B317" s="6" t="s">
        <v>353</v>
      </c>
      <c r="C317" s="6" t="s">
        <v>14</v>
      </c>
      <c r="D317" s="6" t="s">
        <v>63</v>
      </c>
      <c r="E317" s="6" t="s">
        <v>16</v>
      </c>
      <c r="F317" s="6" t="s">
        <v>28</v>
      </c>
      <c r="G317" s="6" t="s">
        <v>23</v>
      </c>
      <c r="H317" s="7">
        <v>45238.0</v>
      </c>
      <c r="I317" s="8">
        <v>425.0</v>
      </c>
      <c r="J317" s="8">
        <v>99.21</v>
      </c>
      <c r="K317" s="8">
        <v>380.22</v>
      </c>
      <c r="O317" s="14" t="str">
        <f t="shared" si="1"/>
        <v>East</v>
      </c>
      <c r="P317" s="14" t="str">
        <f t="shared" si="2"/>
        <v>Beverages</v>
      </c>
    </row>
    <row r="318">
      <c r="B318" s="6" t="s">
        <v>354</v>
      </c>
      <c r="C318" s="6" t="s">
        <v>20</v>
      </c>
      <c r="D318" s="6" t="s">
        <v>63</v>
      </c>
      <c r="E318" s="6" t="s">
        <v>27</v>
      </c>
      <c r="F318" s="6" t="s">
        <v>28</v>
      </c>
      <c r="G318" s="6" t="s">
        <v>33</v>
      </c>
      <c r="H318" s="7">
        <v>45239.0</v>
      </c>
      <c r="I318" s="8">
        <v>251.0</v>
      </c>
      <c r="J318" s="8">
        <v>30.91</v>
      </c>
      <c r="K318" s="8">
        <v>82.77</v>
      </c>
      <c r="O318" s="14" t="str">
        <f t="shared" si="1"/>
        <v>West</v>
      </c>
      <c r="P318" s="14" t="str">
        <f t="shared" si="2"/>
        <v>Clothing</v>
      </c>
    </row>
    <row r="319">
      <c r="B319" s="6" t="s">
        <v>355</v>
      </c>
      <c r="C319" s="6" t="s">
        <v>14</v>
      </c>
      <c r="D319" s="6" t="s">
        <v>31</v>
      </c>
      <c r="E319" s="6" t="s">
        <v>22</v>
      </c>
      <c r="F319" s="6" t="s">
        <v>17</v>
      </c>
      <c r="G319" s="6" t="s">
        <v>18</v>
      </c>
      <c r="H319" s="7">
        <v>45240.0</v>
      </c>
      <c r="I319" s="6"/>
      <c r="J319" s="8">
        <v>192.35</v>
      </c>
      <c r="K319" s="8">
        <v>227.09</v>
      </c>
      <c r="O319" s="14" t="str">
        <f t="shared" si="1"/>
        <v>East</v>
      </c>
      <c r="P319" s="14" t="str">
        <f t="shared" si="2"/>
        <v>Food</v>
      </c>
    </row>
    <row r="320">
      <c r="B320" s="6" t="s">
        <v>356</v>
      </c>
      <c r="C320" s="6" t="s">
        <v>14</v>
      </c>
      <c r="D320" s="6" t="s">
        <v>31</v>
      </c>
      <c r="E320" s="6" t="s">
        <v>16</v>
      </c>
      <c r="F320" s="6" t="s">
        <v>17</v>
      </c>
      <c r="G320" s="6" t="s">
        <v>18</v>
      </c>
      <c r="H320" s="7">
        <v>45241.0</v>
      </c>
      <c r="I320" s="8">
        <v>11.0</v>
      </c>
      <c r="J320" s="8">
        <v>184.66</v>
      </c>
      <c r="K320" s="8">
        <v>391.9</v>
      </c>
      <c r="O320" s="14" t="str">
        <f t="shared" si="1"/>
        <v>East</v>
      </c>
      <c r="P320" s="14" t="str">
        <f t="shared" si="2"/>
        <v>Beverages</v>
      </c>
    </row>
    <row r="321">
      <c r="B321" s="6" t="s">
        <v>357</v>
      </c>
      <c r="C321" s="6" t="s">
        <v>20</v>
      </c>
      <c r="D321" s="6" t="s">
        <v>31</v>
      </c>
      <c r="E321" s="6" t="s">
        <v>27</v>
      </c>
      <c r="F321" s="6" t="s">
        <v>17</v>
      </c>
      <c r="G321" s="6" t="s">
        <v>33</v>
      </c>
      <c r="H321" s="7">
        <v>45242.0</v>
      </c>
      <c r="I321" s="8">
        <v>234.0</v>
      </c>
      <c r="J321" s="8">
        <v>497.76</v>
      </c>
      <c r="K321" s="8">
        <v>67.79</v>
      </c>
      <c r="O321" s="14" t="str">
        <f t="shared" si="1"/>
        <v>West</v>
      </c>
      <c r="P321" s="14" t="str">
        <f t="shared" si="2"/>
        <v>Clothing</v>
      </c>
    </row>
    <row r="322">
      <c r="B322" s="6" t="s">
        <v>358</v>
      </c>
      <c r="C322" s="6" t="s">
        <v>14</v>
      </c>
      <c r="D322" s="6" t="s">
        <v>63</v>
      </c>
      <c r="E322" s="6" t="s">
        <v>27</v>
      </c>
      <c r="F322" s="6" t="s">
        <v>17</v>
      </c>
      <c r="G322" s="6" t="s">
        <v>23</v>
      </c>
      <c r="H322" s="7">
        <v>45243.0</v>
      </c>
      <c r="I322" s="6"/>
      <c r="J322" s="8">
        <v>225.94</v>
      </c>
      <c r="K322" s="8">
        <v>280.7</v>
      </c>
      <c r="O322" s="14" t="str">
        <f t="shared" si="1"/>
        <v>East</v>
      </c>
      <c r="P322" s="14" t="str">
        <f t="shared" si="2"/>
        <v>Clothing</v>
      </c>
    </row>
    <row r="323">
      <c r="B323" s="6" t="s">
        <v>359</v>
      </c>
      <c r="C323" s="6" t="s">
        <v>26</v>
      </c>
      <c r="D323" s="6" t="s">
        <v>39</v>
      </c>
      <c r="E323" s="6" t="s">
        <v>55</v>
      </c>
      <c r="F323" s="6" t="s">
        <v>17</v>
      </c>
      <c r="G323" s="6" t="s">
        <v>23</v>
      </c>
      <c r="H323" s="7">
        <v>45244.0</v>
      </c>
      <c r="I323" s="8">
        <v>242.0</v>
      </c>
      <c r="J323" s="8">
        <v>170.12</v>
      </c>
      <c r="K323" s="8">
        <v>235.15</v>
      </c>
      <c r="O323" s="14" t="str">
        <f t="shared" si="1"/>
        <v>North</v>
      </c>
      <c r="P323" s="14" t="str">
        <f t="shared" si="2"/>
        <v>Electronics</v>
      </c>
    </row>
    <row r="324">
      <c r="B324" s="6" t="s">
        <v>360</v>
      </c>
      <c r="C324" s="6" t="s">
        <v>14</v>
      </c>
      <c r="D324" s="6" t="s">
        <v>63</v>
      </c>
      <c r="E324" s="6" t="s">
        <v>32</v>
      </c>
      <c r="F324" s="6" t="s">
        <v>17</v>
      </c>
      <c r="G324" s="6" t="s">
        <v>18</v>
      </c>
      <c r="H324" s="7">
        <v>45245.0</v>
      </c>
      <c r="I324" s="8">
        <v>470.0</v>
      </c>
      <c r="J324" s="8">
        <v>292.34</v>
      </c>
      <c r="K324" s="8">
        <v>235.42</v>
      </c>
      <c r="O324" s="14" t="str">
        <f t="shared" si="1"/>
        <v>East</v>
      </c>
      <c r="P324" s="14" t="str">
        <f t="shared" si="2"/>
        <v>Furniture</v>
      </c>
    </row>
    <row r="325">
      <c r="B325" s="6" t="s">
        <v>361</v>
      </c>
      <c r="C325" s="6" t="s">
        <v>61</v>
      </c>
      <c r="D325" s="6" t="s">
        <v>39</v>
      </c>
      <c r="E325" s="6" t="s">
        <v>32</v>
      </c>
      <c r="F325" s="6" t="s">
        <v>28</v>
      </c>
      <c r="G325" s="6" t="s">
        <v>18</v>
      </c>
      <c r="H325" s="7">
        <v>45246.0</v>
      </c>
      <c r="I325" s="8">
        <v>423.0</v>
      </c>
      <c r="J325" s="8">
        <v>48.94</v>
      </c>
      <c r="K325" s="8">
        <v>279.67</v>
      </c>
      <c r="O325" s="14" t="str">
        <f t="shared" si="1"/>
        <v>South</v>
      </c>
      <c r="P325" s="14" t="str">
        <f t="shared" si="2"/>
        <v>Furniture</v>
      </c>
    </row>
    <row r="326">
      <c r="B326" s="6" t="s">
        <v>362</v>
      </c>
      <c r="C326" s="6" t="s">
        <v>20</v>
      </c>
      <c r="D326" s="6" t="s">
        <v>39</v>
      </c>
      <c r="E326" s="6" t="s">
        <v>16</v>
      </c>
      <c r="F326" s="6" t="s">
        <v>17</v>
      </c>
      <c r="G326" s="6" t="s">
        <v>23</v>
      </c>
      <c r="H326" s="7">
        <v>45247.0</v>
      </c>
      <c r="I326" s="8">
        <v>426.0</v>
      </c>
      <c r="J326" s="8">
        <v>481.02</v>
      </c>
      <c r="K326" s="8">
        <v>371.99</v>
      </c>
      <c r="O326" s="14" t="str">
        <f t="shared" si="1"/>
        <v>West</v>
      </c>
      <c r="P326" s="14" t="str">
        <f t="shared" si="2"/>
        <v>Beverages</v>
      </c>
    </row>
    <row r="327">
      <c r="B327" s="6" t="s">
        <v>363</v>
      </c>
      <c r="C327" s="6" t="s">
        <v>26</v>
      </c>
      <c r="D327" s="6" t="s">
        <v>31</v>
      </c>
      <c r="E327" s="6" t="s">
        <v>32</v>
      </c>
      <c r="F327" s="6" t="s">
        <v>28</v>
      </c>
      <c r="G327" s="6" t="s">
        <v>33</v>
      </c>
      <c r="H327" s="7">
        <v>45248.0</v>
      </c>
      <c r="I327" s="8">
        <v>86.0</v>
      </c>
      <c r="J327" s="8">
        <v>319.31</v>
      </c>
      <c r="K327" s="8">
        <v>313.47</v>
      </c>
      <c r="O327" s="14" t="str">
        <f t="shared" si="1"/>
        <v>North</v>
      </c>
      <c r="P327" s="14" t="str">
        <f t="shared" si="2"/>
        <v>Furniture</v>
      </c>
    </row>
    <row r="328">
      <c r="B328" s="6" t="s">
        <v>364</v>
      </c>
      <c r="C328" s="6" t="s">
        <v>20</v>
      </c>
      <c r="D328" s="6" t="s">
        <v>15</v>
      </c>
      <c r="E328" s="6" t="s">
        <v>22</v>
      </c>
      <c r="F328" s="6" t="s">
        <v>28</v>
      </c>
      <c r="G328" s="6" t="s">
        <v>18</v>
      </c>
      <c r="H328" s="7">
        <v>45249.0</v>
      </c>
      <c r="I328" s="8">
        <v>125.0</v>
      </c>
      <c r="J328" s="8">
        <v>378.64</v>
      </c>
      <c r="K328" s="8">
        <v>24.34</v>
      </c>
      <c r="O328" s="14" t="str">
        <f t="shared" si="1"/>
        <v>West</v>
      </c>
      <c r="P328" s="14" t="str">
        <f t="shared" si="2"/>
        <v>Food</v>
      </c>
    </row>
    <row r="329">
      <c r="B329" s="6" t="s">
        <v>365</v>
      </c>
      <c r="C329" s="6" t="s">
        <v>61</v>
      </c>
      <c r="D329" s="6" t="s">
        <v>21</v>
      </c>
      <c r="E329" s="6"/>
      <c r="F329" s="6" t="s">
        <v>17</v>
      </c>
      <c r="G329" s="6" t="s">
        <v>18</v>
      </c>
      <c r="H329" s="7">
        <v>45250.0</v>
      </c>
      <c r="I329" s="8">
        <v>163.0</v>
      </c>
      <c r="J329" s="8">
        <v>89.39</v>
      </c>
      <c r="K329" s="8">
        <v>341.39</v>
      </c>
      <c r="O329" s="14" t="str">
        <f t="shared" si="1"/>
        <v>South</v>
      </c>
      <c r="P329" s="14" t="str">
        <f t="shared" si="2"/>
        <v>Beverages</v>
      </c>
    </row>
    <row r="330">
      <c r="B330" s="6" t="s">
        <v>366</v>
      </c>
      <c r="C330" s="6" t="s">
        <v>61</v>
      </c>
      <c r="D330" s="6" t="s">
        <v>31</v>
      </c>
      <c r="E330" s="6" t="s">
        <v>16</v>
      </c>
      <c r="F330" s="6" t="s">
        <v>28</v>
      </c>
      <c r="G330" s="6" t="s">
        <v>23</v>
      </c>
      <c r="H330" s="7">
        <v>45251.0</v>
      </c>
      <c r="I330" s="8">
        <v>415.0</v>
      </c>
      <c r="J330" s="8">
        <v>207.69</v>
      </c>
      <c r="K330" s="8">
        <v>91.77</v>
      </c>
      <c r="O330" s="14" t="str">
        <f t="shared" si="1"/>
        <v>South</v>
      </c>
      <c r="P330" s="14" t="str">
        <f t="shared" si="2"/>
        <v>Beverages</v>
      </c>
    </row>
    <row r="331">
      <c r="B331" s="6" t="s">
        <v>367</v>
      </c>
      <c r="C331" s="6" t="s">
        <v>61</v>
      </c>
      <c r="D331" s="6" t="s">
        <v>31</v>
      </c>
      <c r="E331" s="6" t="s">
        <v>32</v>
      </c>
      <c r="F331" s="6" t="s">
        <v>28</v>
      </c>
      <c r="G331" s="6" t="s">
        <v>33</v>
      </c>
      <c r="H331" s="7">
        <v>45252.0</v>
      </c>
      <c r="I331" s="8">
        <v>112.0</v>
      </c>
      <c r="J331" s="8">
        <v>214.23</v>
      </c>
      <c r="K331" s="8">
        <v>152.01</v>
      </c>
      <c r="O331" s="14" t="str">
        <f t="shared" si="1"/>
        <v>South</v>
      </c>
      <c r="P331" s="14" t="str">
        <f t="shared" si="2"/>
        <v>Furniture</v>
      </c>
    </row>
    <row r="332">
      <c r="B332" s="6" t="s">
        <v>368</v>
      </c>
      <c r="C332" s="6" t="s">
        <v>14</v>
      </c>
      <c r="D332" s="6" t="s">
        <v>15</v>
      </c>
      <c r="E332" s="6" t="s">
        <v>22</v>
      </c>
      <c r="F332" s="6" t="s">
        <v>28</v>
      </c>
      <c r="G332" s="6" t="s">
        <v>23</v>
      </c>
      <c r="H332" s="7">
        <v>45253.0</v>
      </c>
      <c r="I332" s="8">
        <v>203.0</v>
      </c>
      <c r="J332" s="8">
        <v>411.79</v>
      </c>
      <c r="K332" s="8">
        <v>185.77</v>
      </c>
      <c r="O332" s="14" t="str">
        <f t="shared" si="1"/>
        <v>East</v>
      </c>
      <c r="P332" s="14" t="str">
        <f t="shared" si="2"/>
        <v>Food</v>
      </c>
    </row>
    <row r="333">
      <c r="B333" s="6" t="s">
        <v>369</v>
      </c>
      <c r="C333" s="6" t="s">
        <v>14</v>
      </c>
      <c r="D333" s="6" t="s">
        <v>21</v>
      </c>
      <c r="E333" s="6" t="s">
        <v>55</v>
      </c>
      <c r="F333" s="6" t="s">
        <v>28</v>
      </c>
      <c r="G333" s="6" t="s">
        <v>33</v>
      </c>
      <c r="H333" s="7">
        <v>45254.0</v>
      </c>
      <c r="I333" s="6"/>
      <c r="J333" s="8">
        <v>5.61</v>
      </c>
      <c r="K333" s="8">
        <v>193.4</v>
      </c>
      <c r="O333" s="14" t="str">
        <f t="shared" si="1"/>
        <v>East</v>
      </c>
      <c r="P333" s="14" t="str">
        <f t="shared" si="2"/>
        <v>Electronics</v>
      </c>
    </row>
    <row r="334">
      <c r="B334" s="6" t="s">
        <v>370</v>
      </c>
      <c r="C334" s="6" t="s">
        <v>20</v>
      </c>
      <c r="D334" s="6" t="s">
        <v>63</v>
      </c>
      <c r="E334" s="6" t="s">
        <v>16</v>
      </c>
      <c r="F334" s="6" t="s">
        <v>28</v>
      </c>
      <c r="G334" s="6" t="s">
        <v>33</v>
      </c>
      <c r="H334" s="7">
        <v>45255.0</v>
      </c>
      <c r="I334" s="8">
        <v>368.0</v>
      </c>
      <c r="J334" s="8">
        <v>153.92</v>
      </c>
      <c r="K334" s="8">
        <v>175.2</v>
      </c>
      <c r="O334" s="14" t="str">
        <f t="shared" si="1"/>
        <v>West</v>
      </c>
      <c r="P334" s="14" t="str">
        <f t="shared" si="2"/>
        <v>Beverages</v>
      </c>
    </row>
    <row r="335">
      <c r="B335" s="6" t="s">
        <v>371</v>
      </c>
      <c r="C335" s="6" t="s">
        <v>20</v>
      </c>
      <c r="D335" s="6" t="s">
        <v>63</v>
      </c>
      <c r="E335" s="6" t="s">
        <v>55</v>
      </c>
      <c r="F335" s="6" t="s">
        <v>28</v>
      </c>
      <c r="G335" s="6" t="s">
        <v>33</v>
      </c>
      <c r="H335" s="7">
        <v>45256.0</v>
      </c>
      <c r="I335" s="8">
        <v>99.0</v>
      </c>
      <c r="J335" s="8">
        <v>490.71</v>
      </c>
      <c r="K335" s="8">
        <v>375.07</v>
      </c>
      <c r="O335" s="14" t="str">
        <f t="shared" si="1"/>
        <v>West</v>
      </c>
      <c r="P335" s="14" t="str">
        <f t="shared" si="2"/>
        <v>Electronics</v>
      </c>
    </row>
    <row r="336">
      <c r="B336" s="6" t="s">
        <v>372</v>
      </c>
      <c r="C336" s="6" t="s">
        <v>26</v>
      </c>
      <c r="D336" s="6" t="s">
        <v>31</v>
      </c>
      <c r="E336" s="6" t="s">
        <v>55</v>
      </c>
      <c r="F336" s="6" t="s">
        <v>17</v>
      </c>
      <c r="G336" s="6" t="s">
        <v>18</v>
      </c>
      <c r="H336" s="7">
        <v>45257.0</v>
      </c>
      <c r="I336" s="8">
        <v>183.0</v>
      </c>
      <c r="J336" s="8">
        <v>240.07</v>
      </c>
      <c r="K336" s="8">
        <v>283.0</v>
      </c>
      <c r="O336" s="14" t="str">
        <f t="shared" si="1"/>
        <v>North</v>
      </c>
      <c r="P336" s="14" t="str">
        <f t="shared" si="2"/>
        <v>Electronics</v>
      </c>
    </row>
    <row r="337">
      <c r="B337" s="6" t="s">
        <v>373</v>
      </c>
      <c r="C337" s="6" t="str">
        <f>IF(C5="", "Sub-Saharan Africa", C5)
</f>
        <v>Region</v>
      </c>
      <c r="D337" s="6" t="s">
        <v>21</v>
      </c>
      <c r="E337" s="6" t="s">
        <v>55</v>
      </c>
      <c r="F337" s="6" t="s">
        <v>28</v>
      </c>
      <c r="G337" s="6" t="s">
        <v>23</v>
      </c>
      <c r="H337" s="7">
        <v>45258.0</v>
      </c>
      <c r="I337" s="8">
        <v>131.0</v>
      </c>
      <c r="J337" s="8">
        <v>194.35</v>
      </c>
      <c r="K337" s="8">
        <v>253.21</v>
      </c>
      <c r="O337" s="14" t="str">
        <f t="shared" si="1"/>
        <v>Region</v>
      </c>
      <c r="P337" s="14" t="str">
        <f t="shared" si="2"/>
        <v>Electronics</v>
      </c>
    </row>
    <row r="338">
      <c r="B338" s="6" t="s">
        <v>374</v>
      </c>
      <c r="C338" s="6" t="s">
        <v>20</v>
      </c>
      <c r="D338" s="6" t="s">
        <v>31</v>
      </c>
      <c r="E338" s="6" t="s">
        <v>27</v>
      </c>
      <c r="F338" s="6" t="s">
        <v>28</v>
      </c>
      <c r="G338" s="6" t="s">
        <v>23</v>
      </c>
      <c r="H338" s="7">
        <v>45259.0</v>
      </c>
      <c r="I338" s="8">
        <v>152.0</v>
      </c>
      <c r="J338" s="8">
        <v>64.32</v>
      </c>
      <c r="K338" s="8">
        <v>21.84</v>
      </c>
      <c r="O338" s="14" t="str">
        <f t="shared" si="1"/>
        <v>West</v>
      </c>
      <c r="P338" s="14" t="str">
        <f t="shared" si="2"/>
        <v>Clothing</v>
      </c>
    </row>
    <row r="339">
      <c r="B339" s="6" t="s">
        <v>375</v>
      </c>
      <c r="C339" s="6" t="s">
        <v>14</v>
      </c>
      <c r="D339" s="6" t="s">
        <v>39</v>
      </c>
      <c r="E339" s="6" t="s">
        <v>27</v>
      </c>
      <c r="F339" s="6" t="s">
        <v>28</v>
      </c>
      <c r="G339" s="6" t="s">
        <v>33</v>
      </c>
      <c r="H339" s="7">
        <v>45260.0</v>
      </c>
      <c r="I339" s="8">
        <v>491.0</v>
      </c>
      <c r="J339" s="8">
        <v>487.21</v>
      </c>
      <c r="K339" s="8">
        <v>361.76</v>
      </c>
      <c r="O339" s="14" t="str">
        <f t="shared" si="1"/>
        <v>East</v>
      </c>
      <c r="P339" s="14" t="str">
        <f t="shared" si="2"/>
        <v>Clothing</v>
      </c>
    </row>
    <row r="340">
      <c r="B340" s="6" t="s">
        <v>376</v>
      </c>
      <c r="C340" s="6" t="s">
        <v>61</v>
      </c>
      <c r="D340" s="6" t="s">
        <v>31</v>
      </c>
      <c r="E340" s="6" t="s">
        <v>55</v>
      </c>
      <c r="F340" s="6" t="s">
        <v>17</v>
      </c>
      <c r="G340" s="6" t="s">
        <v>18</v>
      </c>
      <c r="H340" s="7">
        <v>45261.0</v>
      </c>
      <c r="I340" s="8">
        <v>115.0</v>
      </c>
      <c r="J340" s="8">
        <v>14.91</v>
      </c>
      <c r="K340" s="8">
        <v>363.94</v>
      </c>
      <c r="O340" s="14" t="str">
        <f t="shared" si="1"/>
        <v>South</v>
      </c>
      <c r="P340" s="14" t="str">
        <f t="shared" si="2"/>
        <v>Electronics</v>
      </c>
    </row>
    <row r="341">
      <c r="B341" s="6" t="s">
        <v>377</v>
      </c>
      <c r="C341" s="6" t="s">
        <v>20</v>
      </c>
      <c r="D341" s="6" t="s">
        <v>31</v>
      </c>
      <c r="E341" s="6" t="s">
        <v>16</v>
      </c>
      <c r="F341" s="6" t="s">
        <v>28</v>
      </c>
      <c r="G341" s="6" t="s">
        <v>18</v>
      </c>
      <c r="H341" s="7">
        <v>45262.0</v>
      </c>
      <c r="I341" s="8">
        <v>384.0</v>
      </c>
      <c r="J341" s="8">
        <v>369.9</v>
      </c>
      <c r="K341" s="8">
        <v>312.52</v>
      </c>
      <c r="O341" s="14" t="str">
        <f t="shared" si="1"/>
        <v>West</v>
      </c>
      <c r="P341" s="14" t="str">
        <f t="shared" si="2"/>
        <v>Beverages</v>
      </c>
    </row>
    <row r="342">
      <c r="B342" s="6" t="s">
        <v>378</v>
      </c>
      <c r="C342" s="6" t="s">
        <v>26</v>
      </c>
      <c r="D342" s="6" t="s">
        <v>63</v>
      </c>
      <c r="E342" s="6" t="s">
        <v>22</v>
      </c>
      <c r="F342" s="6" t="s">
        <v>17</v>
      </c>
      <c r="G342" s="6" t="s">
        <v>23</v>
      </c>
      <c r="H342" s="7">
        <v>45263.0</v>
      </c>
      <c r="I342" s="8">
        <v>437.0</v>
      </c>
      <c r="J342" s="8">
        <v>385.46</v>
      </c>
      <c r="K342" s="8">
        <v>4.8</v>
      </c>
      <c r="O342" s="14" t="str">
        <f t="shared" si="1"/>
        <v>North</v>
      </c>
      <c r="P342" s="14" t="str">
        <f t="shared" si="2"/>
        <v>Food</v>
      </c>
    </row>
    <row r="343">
      <c r="B343" s="6" t="s">
        <v>379</v>
      </c>
      <c r="C343" s="6" t="s">
        <v>14</v>
      </c>
      <c r="D343" s="6" t="s">
        <v>63</v>
      </c>
      <c r="E343" s="6" t="s">
        <v>22</v>
      </c>
      <c r="F343" s="6" t="s">
        <v>28</v>
      </c>
      <c r="G343" s="6" t="s">
        <v>18</v>
      </c>
      <c r="H343" s="7">
        <v>45264.0</v>
      </c>
      <c r="I343" s="8">
        <v>314.0</v>
      </c>
      <c r="J343" s="8">
        <v>125.61</v>
      </c>
      <c r="K343" s="8">
        <v>24.8</v>
      </c>
      <c r="O343" s="14" t="str">
        <f t="shared" si="1"/>
        <v>East</v>
      </c>
      <c r="P343" s="14" t="str">
        <f t="shared" si="2"/>
        <v>Food</v>
      </c>
    </row>
    <row r="344">
      <c r="B344" s="6" t="s">
        <v>380</v>
      </c>
      <c r="C344" s="6" t="s">
        <v>20</v>
      </c>
      <c r="D344" s="6" t="s">
        <v>63</v>
      </c>
      <c r="E344" s="6" t="s">
        <v>32</v>
      </c>
      <c r="F344" s="6" t="s">
        <v>17</v>
      </c>
      <c r="G344" s="6" t="s">
        <v>18</v>
      </c>
      <c r="H344" s="7">
        <v>45265.0</v>
      </c>
      <c r="I344" s="8">
        <v>369.0</v>
      </c>
      <c r="J344" s="8">
        <v>337.42</v>
      </c>
      <c r="K344" s="8">
        <v>91.64</v>
      </c>
      <c r="O344" s="14" t="str">
        <f t="shared" si="1"/>
        <v>West</v>
      </c>
      <c r="P344" s="14" t="str">
        <f t="shared" si="2"/>
        <v>Furniture</v>
      </c>
    </row>
    <row r="345">
      <c r="B345" s="6" t="s">
        <v>381</v>
      </c>
      <c r="C345" s="6" t="s">
        <v>20</v>
      </c>
      <c r="D345" s="6" t="s">
        <v>39</v>
      </c>
      <c r="E345" s="6" t="s">
        <v>16</v>
      </c>
      <c r="F345" s="6" t="s">
        <v>17</v>
      </c>
      <c r="G345" s="6" t="s">
        <v>33</v>
      </c>
      <c r="H345" s="7">
        <v>45266.0</v>
      </c>
      <c r="I345" s="8">
        <v>468.0</v>
      </c>
      <c r="J345" s="8">
        <v>51.0</v>
      </c>
      <c r="K345" s="8">
        <v>54.28</v>
      </c>
      <c r="O345" s="14" t="str">
        <f t="shared" si="1"/>
        <v>West</v>
      </c>
      <c r="P345" s="14" t="str">
        <f t="shared" si="2"/>
        <v>Beverages</v>
      </c>
    </row>
    <row r="346">
      <c r="B346" s="6" t="s">
        <v>382</v>
      </c>
      <c r="C346" s="6" t="s">
        <v>14</v>
      </c>
      <c r="D346" s="6" t="s">
        <v>63</v>
      </c>
      <c r="E346" s="6" t="s">
        <v>27</v>
      </c>
      <c r="F346" s="6" t="s">
        <v>28</v>
      </c>
      <c r="G346" s="6" t="s">
        <v>18</v>
      </c>
      <c r="H346" s="7">
        <v>45267.0</v>
      </c>
      <c r="I346" s="8">
        <v>326.0</v>
      </c>
      <c r="J346" s="8">
        <v>132.24</v>
      </c>
      <c r="K346" s="8">
        <v>160.74</v>
      </c>
      <c r="O346" s="14" t="str">
        <f t="shared" si="1"/>
        <v>East</v>
      </c>
      <c r="P346" s="14" t="str">
        <f t="shared" si="2"/>
        <v>Clothing</v>
      </c>
    </row>
    <row r="347">
      <c r="B347" s="6" t="s">
        <v>383</v>
      </c>
      <c r="C347" s="6" t="s">
        <v>20</v>
      </c>
      <c r="D347" s="6" t="s">
        <v>21</v>
      </c>
      <c r="E347" s="6" t="s">
        <v>55</v>
      </c>
      <c r="F347" s="6" t="s">
        <v>28</v>
      </c>
      <c r="G347" s="6" t="s">
        <v>33</v>
      </c>
      <c r="H347" s="7">
        <v>45268.0</v>
      </c>
      <c r="I347" s="8">
        <v>460.0</v>
      </c>
      <c r="J347" s="8">
        <v>395.01</v>
      </c>
      <c r="K347" s="8">
        <v>369.2</v>
      </c>
      <c r="O347" s="14" t="str">
        <f t="shared" si="1"/>
        <v>West</v>
      </c>
      <c r="P347" s="14" t="str">
        <f t="shared" si="2"/>
        <v>Electronics</v>
      </c>
    </row>
    <row r="348">
      <c r="B348" s="6" t="s">
        <v>384</v>
      </c>
      <c r="C348" s="6" t="s">
        <v>14</v>
      </c>
      <c r="D348" s="6" t="s">
        <v>15</v>
      </c>
      <c r="E348" s="6" t="s">
        <v>32</v>
      </c>
      <c r="F348" s="6" t="s">
        <v>17</v>
      </c>
      <c r="G348" s="6" t="s">
        <v>23</v>
      </c>
      <c r="H348" s="7">
        <v>45269.0</v>
      </c>
      <c r="I348" s="8">
        <v>132.0</v>
      </c>
      <c r="J348" s="8">
        <v>433.02</v>
      </c>
      <c r="K348" s="8">
        <v>189.88</v>
      </c>
      <c r="O348" s="14" t="str">
        <f t="shared" si="1"/>
        <v>East</v>
      </c>
      <c r="P348" s="14" t="str">
        <f t="shared" si="2"/>
        <v>Furniture</v>
      </c>
    </row>
    <row r="349">
      <c r="B349" s="6" t="s">
        <v>385</v>
      </c>
      <c r="C349" s="6" t="s">
        <v>61</v>
      </c>
      <c r="D349" s="6" t="s">
        <v>21</v>
      </c>
      <c r="E349" s="6" t="s">
        <v>22</v>
      </c>
      <c r="F349" s="6" t="s">
        <v>28</v>
      </c>
      <c r="G349" s="6" t="s">
        <v>18</v>
      </c>
      <c r="H349" s="7">
        <v>45270.0</v>
      </c>
      <c r="I349" s="8">
        <v>399.0</v>
      </c>
      <c r="J349" s="8">
        <v>306.2</v>
      </c>
      <c r="K349" s="8">
        <v>7.33</v>
      </c>
      <c r="O349" s="14" t="str">
        <f t="shared" si="1"/>
        <v>South</v>
      </c>
      <c r="P349" s="14" t="str">
        <f t="shared" si="2"/>
        <v>Food</v>
      </c>
    </row>
    <row r="350">
      <c r="B350" s="6" t="s">
        <v>386</v>
      </c>
      <c r="C350" s="6" t="s">
        <v>14</v>
      </c>
      <c r="D350" s="6" t="s">
        <v>21</v>
      </c>
      <c r="E350" s="6" t="s">
        <v>27</v>
      </c>
      <c r="F350" s="6" t="s">
        <v>17</v>
      </c>
      <c r="G350" s="6" t="s">
        <v>23</v>
      </c>
      <c r="H350" s="7">
        <v>45271.0</v>
      </c>
      <c r="I350" s="8">
        <v>18.0</v>
      </c>
      <c r="J350" s="8">
        <v>255.89</v>
      </c>
      <c r="K350" s="8">
        <v>114.53</v>
      </c>
      <c r="O350" s="14" t="str">
        <f t="shared" si="1"/>
        <v>East</v>
      </c>
      <c r="P350" s="14" t="str">
        <f t="shared" si="2"/>
        <v>Clothing</v>
      </c>
    </row>
    <row r="351">
      <c r="B351" s="6" t="s">
        <v>387</v>
      </c>
      <c r="C351" s="6" t="s">
        <v>14</v>
      </c>
      <c r="D351" s="6" t="s">
        <v>63</v>
      </c>
      <c r="E351" s="6" t="s">
        <v>27</v>
      </c>
      <c r="F351" s="6" t="s">
        <v>17</v>
      </c>
      <c r="G351" s="6" t="s">
        <v>23</v>
      </c>
      <c r="H351" s="7">
        <v>45272.0</v>
      </c>
      <c r="I351" s="8">
        <v>271.0</v>
      </c>
      <c r="J351" s="8">
        <v>83.86</v>
      </c>
      <c r="K351" s="8">
        <v>19.75</v>
      </c>
      <c r="O351" s="14" t="str">
        <f t="shared" si="1"/>
        <v>East</v>
      </c>
      <c r="P351" s="14" t="str">
        <f t="shared" si="2"/>
        <v>Clothing</v>
      </c>
    </row>
    <row r="352">
      <c r="B352" s="6" t="s">
        <v>388</v>
      </c>
      <c r="C352" s="6"/>
      <c r="D352" s="6" t="s">
        <v>15</v>
      </c>
      <c r="E352" s="6" t="s">
        <v>55</v>
      </c>
      <c r="F352" s="6" t="s">
        <v>17</v>
      </c>
      <c r="G352" s="6" t="s">
        <v>18</v>
      </c>
      <c r="H352" s="7">
        <v>45273.0</v>
      </c>
      <c r="I352" s="8">
        <v>82.0</v>
      </c>
      <c r="J352" s="8">
        <v>36.24</v>
      </c>
      <c r="K352" s="8">
        <v>16.44</v>
      </c>
      <c r="O352" s="14" t="str">
        <f t="shared" si="1"/>
        <v>West</v>
      </c>
      <c r="P352" s="14" t="str">
        <f t="shared" si="2"/>
        <v>Electronics</v>
      </c>
    </row>
    <row r="353">
      <c r="B353" s="6" t="s">
        <v>389</v>
      </c>
      <c r="C353" s="6" t="s">
        <v>20</v>
      </c>
      <c r="D353" s="6" t="s">
        <v>15</v>
      </c>
      <c r="E353" s="6" t="s">
        <v>22</v>
      </c>
      <c r="F353" s="6" t="s">
        <v>17</v>
      </c>
      <c r="G353" s="6" t="s">
        <v>18</v>
      </c>
      <c r="H353" s="7">
        <v>45274.0</v>
      </c>
      <c r="I353" s="8">
        <v>368.0</v>
      </c>
      <c r="J353" s="8">
        <v>63.24</v>
      </c>
      <c r="K353" s="8">
        <v>111.74</v>
      </c>
      <c r="O353" s="14" t="str">
        <f t="shared" si="1"/>
        <v>West</v>
      </c>
      <c r="P353" s="14" t="str">
        <f t="shared" si="2"/>
        <v>Food</v>
      </c>
    </row>
    <row r="354">
      <c r="B354" s="6" t="s">
        <v>390</v>
      </c>
      <c r="C354" s="6" t="s">
        <v>20</v>
      </c>
      <c r="D354" s="6" t="s">
        <v>15</v>
      </c>
      <c r="E354" s="6" t="s">
        <v>16</v>
      </c>
      <c r="F354" s="6" t="s">
        <v>17</v>
      </c>
      <c r="G354" s="6" t="s">
        <v>23</v>
      </c>
      <c r="H354" s="7">
        <v>45275.0</v>
      </c>
      <c r="I354" s="8">
        <v>232.0</v>
      </c>
      <c r="J354" s="8">
        <v>117.54</v>
      </c>
      <c r="K354" s="8">
        <v>111.69</v>
      </c>
      <c r="O354" s="14" t="str">
        <f t="shared" si="1"/>
        <v>West</v>
      </c>
      <c r="P354" s="14" t="str">
        <f t="shared" si="2"/>
        <v>Beverages</v>
      </c>
    </row>
    <row r="355">
      <c r="B355" s="6" t="s">
        <v>391</v>
      </c>
      <c r="C355" s="6" t="s">
        <v>14</v>
      </c>
      <c r="D355" s="6" t="s">
        <v>39</v>
      </c>
      <c r="E355" s="6" t="s">
        <v>27</v>
      </c>
      <c r="F355" s="6" t="s">
        <v>28</v>
      </c>
      <c r="G355" s="6" t="s">
        <v>18</v>
      </c>
      <c r="H355" s="7">
        <v>45276.0</v>
      </c>
      <c r="I355" s="8">
        <v>425.0</v>
      </c>
      <c r="J355" s="8">
        <v>174.13</v>
      </c>
      <c r="K355" s="8">
        <v>315.28</v>
      </c>
      <c r="O355" s="14" t="str">
        <f t="shared" si="1"/>
        <v>East</v>
      </c>
      <c r="P355" s="14" t="str">
        <f t="shared" si="2"/>
        <v>Clothing</v>
      </c>
    </row>
  </sheetData>
  <conditionalFormatting sqref="O5:O355">
    <cfRule type="expression" dxfId="0" priority="1">
      <formula>C5=""</formula>
    </cfRule>
  </conditionalFormatting>
  <conditionalFormatting sqref="P5:P355">
    <cfRule type="expression" dxfId="1" priority="2">
      <formula>E5=""</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M1" s="14">
        <f>IFERROR(__xludf.DUMMYFUNCTION("MODE(FILTER(I5:I355, I5:I355&lt;&gt;""""))
"),49.0)</f>
        <v>49</v>
      </c>
      <c r="N1" s="14">
        <f>IFERROR(__xludf.DUMMYFUNCTION("AVERAGE(FILTER(J5:J355, ISNUMBER(J5:J355)))"),249.64520588235297)</f>
        <v>249.6452059</v>
      </c>
    </row>
    <row r="3">
      <c r="A3" s="15" t="s">
        <v>404</v>
      </c>
      <c r="B3" s="15" t="s">
        <v>405</v>
      </c>
      <c r="C3" s="16"/>
      <c r="D3" s="16"/>
      <c r="E3" s="16"/>
      <c r="F3" s="16"/>
      <c r="G3" s="3"/>
      <c r="H3" s="3"/>
    </row>
    <row r="5">
      <c r="A5" s="5" t="s">
        <v>12</v>
      </c>
      <c r="B5" s="17" t="s">
        <v>394</v>
      </c>
      <c r="C5" s="4" t="s">
        <v>3</v>
      </c>
      <c r="D5" s="4" t="s">
        <v>4</v>
      </c>
      <c r="E5" s="4" t="s">
        <v>5</v>
      </c>
      <c r="F5" s="4" t="s">
        <v>6</v>
      </c>
      <c r="G5" s="4" t="s">
        <v>7</v>
      </c>
      <c r="H5" s="4" t="s">
        <v>8</v>
      </c>
      <c r="I5" s="4" t="s">
        <v>9</v>
      </c>
      <c r="J5" s="4" t="s">
        <v>10</v>
      </c>
      <c r="K5" s="4" t="s">
        <v>11</v>
      </c>
      <c r="N5" s="18"/>
      <c r="O5" s="19" t="str">
        <f t="shared" ref="O5:O355" si="1">IF(I5="", $M$1, I5)</f>
        <v>Units Sold</v>
      </c>
      <c r="P5" s="19" t="str">
        <f t="shared" ref="P5:P355" si="2">IF(J5="", $N$1, J5)</f>
        <v>Unit Price</v>
      </c>
      <c r="Q5" s="18"/>
    </row>
    <row r="6">
      <c r="B6" s="6" t="s">
        <v>13</v>
      </c>
      <c r="C6" s="6" t="s">
        <v>14</v>
      </c>
      <c r="D6" s="6" t="s">
        <v>15</v>
      </c>
      <c r="E6" s="6" t="s">
        <v>16</v>
      </c>
      <c r="F6" s="6" t="s">
        <v>17</v>
      </c>
      <c r="G6" s="6" t="s">
        <v>18</v>
      </c>
      <c r="H6" s="7">
        <v>44927.0</v>
      </c>
      <c r="I6" s="8">
        <v>235.0</v>
      </c>
      <c r="J6" s="8">
        <v>152.92</v>
      </c>
      <c r="K6" s="8">
        <v>153.6</v>
      </c>
      <c r="O6" s="14">
        <f t="shared" si="1"/>
        <v>235</v>
      </c>
      <c r="P6" s="14">
        <f t="shared" si="2"/>
        <v>152.92</v>
      </c>
      <c r="S6" s="20"/>
      <c r="T6" s="20"/>
      <c r="U6" s="20"/>
      <c r="V6" s="20"/>
      <c r="W6" s="20"/>
      <c r="X6" s="20"/>
    </row>
    <row r="7">
      <c r="B7" s="6" t="s">
        <v>19</v>
      </c>
      <c r="C7" s="6" t="s">
        <v>20</v>
      </c>
      <c r="D7" s="6" t="s">
        <v>21</v>
      </c>
      <c r="E7" s="6" t="s">
        <v>22</v>
      </c>
      <c r="F7" s="6" t="s">
        <v>17</v>
      </c>
      <c r="G7" s="6" t="s">
        <v>23</v>
      </c>
      <c r="H7" s="7">
        <v>44928.0</v>
      </c>
      <c r="I7" s="8">
        <v>341.0</v>
      </c>
      <c r="J7" s="8">
        <v>467.92</v>
      </c>
      <c r="K7" s="8">
        <v>139.84</v>
      </c>
      <c r="O7" s="14">
        <f t="shared" si="1"/>
        <v>341</v>
      </c>
      <c r="P7" s="14">
        <f t="shared" si="2"/>
        <v>467.92</v>
      </c>
      <c r="S7" s="20"/>
      <c r="T7" s="21" t="s">
        <v>395</v>
      </c>
      <c r="U7" s="22"/>
      <c r="V7" s="22"/>
      <c r="W7" s="22"/>
      <c r="X7" s="22"/>
    </row>
    <row r="8">
      <c r="B8" s="6" t="s">
        <v>25</v>
      </c>
      <c r="C8" s="6" t="s">
        <v>26</v>
      </c>
      <c r="D8" s="6" t="s">
        <v>21</v>
      </c>
      <c r="E8" s="6" t="s">
        <v>27</v>
      </c>
      <c r="F8" s="6" t="s">
        <v>28</v>
      </c>
      <c r="G8" s="6" t="s">
        <v>18</v>
      </c>
      <c r="H8" s="7">
        <v>44929.0</v>
      </c>
      <c r="I8" s="8">
        <v>179.0</v>
      </c>
      <c r="J8" s="8">
        <v>473.94</v>
      </c>
      <c r="K8" s="8">
        <v>97.14</v>
      </c>
      <c r="O8" s="14">
        <f t="shared" si="1"/>
        <v>179</v>
      </c>
      <c r="P8" s="14">
        <f t="shared" si="2"/>
        <v>473.94</v>
      </c>
      <c r="S8" s="20"/>
      <c r="T8" s="21" t="s">
        <v>406</v>
      </c>
      <c r="U8" s="22"/>
      <c r="V8" s="22"/>
      <c r="W8" s="22"/>
      <c r="X8" s="22"/>
    </row>
    <row r="9">
      <c r="B9" s="6" t="s">
        <v>30</v>
      </c>
      <c r="C9" s="6" t="s">
        <v>14</v>
      </c>
      <c r="D9" s="6" t="s">
        <v>31</v>
      </c>
      <c r="E9" s="6" t="s">
        <v>32</v>
      </c>
      <c r="F9" s="6" t="s">
        <v>28</v>
      </c>
      <c r="G9" s="6" t="s">
        <v>33</v>
      </c>
      <c r="H9" s="7">
        <v>44930.0</v>
      </c>
      <c r="I9" s="8">
        <v>18.0</v>
      </c>
      <c r="J9" s="8">
        <v>314.53</v>
      </c>
      <c r="K9" s="8">
        <v>204.87</v>
      </c>
      <c r="O9" s="14">
        <f t="shared" si="1"/>
        <v>18</v>
      </c>
      <c r="P9" s="14">
        <f t="shared" si="2"/>
        <v>314.53</v>
      </c>
      <c r="S9" s="20"/>
      <c r="T9" s="22"/>
      <c r="U9" s="22"/>
      <c r="V9" s="22"/>
      <c r="W9" s="22"/>
      <c r="X9" s="22"/>
    </row>
    <row r="10">
      <c r="B10" s="6" t="s">
        <v>36</v>
      </c>
      <c r="C10" s="6" t="s">
        <v>14</v>
      </c>
      <c r="D10" s="6" t="s">
        <v>21</v>
      </c>
      <c r="E10" s="6" t="s">
        <v>32</v>
      </c>
      <c r="F10" s="6" t="s">
        <v>28</v>
      </c>
      <c r="G10" s="6" t="s">
        <v>33</v>
      </c>
      <c r="H10" s="7">
        <v>44931.0</v>
      </c>
      <c r="I10" s="8">
        <v>472.0</v>
      </c>
      <c r="J10" s="8">
        <v>392.79</v>
      </c>
      <c r="K10" s="8">
        <v>330.46</v>
      </c>
      <c r="O10" s="14">
        <f t="shared" si="1"/>
        <v>472</v>
      </c>
      <c r="P10" s="14">
        <f t="shared" si="2"/>
        <v>392.79</v>
      </c>
      <c r="S10" s="20"/>
      <c r="T10" s="21" t="s">
        <v>397</v>
      </c>
      <c r="U10" s="22"/>
      <c r="V10" s="22"/>
      <c r="W10" s="22"/>
      <c r="X10" s="22"/>
    </row>
    <row r="11">
      <c r="B11" s="6" t="s">
        <v>38</v>
      </c>
      <c r="C11" s="6" t="s">
        <v>20</v>
      </c>
      <c r="D11" s="6" t="s">
        <v>39</v>
      </c>
      <c r="E11" s="6" t="s">
        <v>27</v>
      </c>
      <c r="F11" s="6" t="s">
        <v>17</v>
      </c>
      <c r="G11" s="6" t="s">
        <v>18</v>
      </c>
      <c r="H11" s="7">
        <v>44932.0</v>
      </c>
      <c r="I11" s="8">
        <v>49.0</v>
      </c>
      <c r="J11" s="8">
        <v>308.07</v>
      </c>
      <c r="K11" s="8">
        <v>113.32</v>
      </c>
      <c r="O11" s="14">
        <f t="shared" si="1"/>
        <v>49</v>
      </c>
      <c r="P11" s="14">
        <f t="shared" si="2"/>
        <v>308.07</v>
      </c>
      <c r="S11" s="20"/>
      <c r="T11" s="21" t="s">
        <v>398</v>
      </c>
      <c r="U11" s="22"/>
      <c r="V11" s="22"/>
      <c r="W11" s="22"/>
      <c r="X11" s="22"/>
    </row>
    <row r="12">
      <c r="B12" s="6" t="s">
        <v>42</v>
      </c>
      <c r="C12" s="6" t="s">
        <v>26</v>
      </c>
      <c r="D12" s="6" t="s">
        <v>15</v>
      </c>
      <c r="E12" s="6" t="s">
        <v>27</v>
      </c>
      <c r="F12" s="6" t="s">
        <v>17</v>
      </c>
      <c r="G12" s="6" t="s">
        <v>23</v>
      </c>
      <c r="H12" s="7">
        <v>44933.0</v>
      </c>
      <c r="I12" s="8">
        <v>34.0</v>
      </c>
      <c r="J12" s="8">
        <v>244.78</v>
      </c>
      <c r="K12" s="8">
        <v>377.07</v>
      </c>
      <c r="O12" s="14">
        <f t="shared" si="1"/>
        <v>34</v>
      </c>
      <c r="P12" s="14">
        <f t="shared" si="2"/>
        <v>244.78</v>
      </c>
      <c r="S12" s="20"/>
      <c r="T12" s="21" t="s">
        <v>407</v>
      </c>
      <c r="U12" s="22"/>
      <c r="V12" s="22"/>
      <c r="W12" s="22"/>
      <c r="X12" s="22"/>
    </row>
    <row r="13">
      <c r="B13" s="6" t="s">
        <v>44</v>
      </c>
      <c r="C13" s="6" t="s">
        <v>26</v>
      </c>
      <c r="D13" s="6" t="s">
        <v>21</v>
      </c>
      <c r="E13" s="6" t="s">
        <v>16</v>
      </c>
      <c r="F13" s="6" t="s">
        <v>17</v>
      </c>
      <c r="G13" s="6" t="s">
        <v>18</v>
      </c>
      <c r="H13" s="7">
        <v>44934.0</v>
      </c>
      <c r="I13" s="8">
        <v>270.0</v>
      </c>
      <c r="J13" s="8">
        <v>332.11</v>
      </c>
      <c r="K13" s="8">
        <v>349.59</v>
      </c>
      <c r="O13" s="14">
        <f t="shared" si="1"/>
        <v>270</v>
      </c>
      <c r="P13" s="14">
        <f t="shared" si="2"/>
        <v>332.11</v>
      </c>
      <c r="S13" s="20"/>
      <c r="T13" s="21" t="s">
        <v>408</v>
      </c>
      <c r="U13" s="22"/>
      <c r="V13" s="22"/>
      <c r="W13" s="22"/>
      <c r="X13" s="22"/>
    </row>
    <row r="14">
      <c r="B14" s="6" t="s">
        <v>45</v>
      </c>
      <c r="C14" s="6" t="s">
        <v>14</v>
      </c>
      <c r="D14" s="6" t="s">
        <v>21</v>
      </c>
      <c r="E14" s="6" t="s">
        <v>16</v>
      </c>
      <c r="F14" s="6" t="s">
        <v>17</v>
      </c>
      <c r="G14" s="6" t="s">
        <v>23</v>
      </c>
      <c r="H14" s="7">
        <v>44935.0</v>
      </c>
      <c r="I14" s="8">
        <v>404.0</v>
      </c>
      <c r="J14" s="8">
        <v>278.74</v>
      </c>
      <c r="K14" s="8">
        <v>66.38</v>
      </c>
      <c r="O14" s="14">
        <f t="shared" si="1"/>
        <v>404</v>
      </c>
      <c r="P14" s="14">
        <f t="shared" si="2"/>
        <v>278.74</v>
      </c>
      <c r="S14" s="20"/>
      <c r="T14" s="21" t="s">
        <v>409</v>
      </c>
      <c r="U14" s="22"/>
      <c r="V14" s="22"/>
      <c r="W14" s="22"/>
      <c r="X14" s="22"/>
    </row>
    <row r="15">
      <c r="B15" s="6" t="s">
        <v>47</v>
      </c>
      <c r="C15" s="6"/>
      <c r="D15" s="6" t="s">
        <v>31</v>
      </c>
      <c r="E15" s="6" t="s">
        <v>32</v>
      </c>
      <c r="F15" s="6" t="s">
        <v>17</v>
      </c>
      <c r="G15" s="6" t="s">
        <v>33</v>
      </c>
      <c r="H15" s="7">
        <v>44936.0</v>
      </c>
      <c r="I15" s="8">
        <v>452.0</v>
      </c>
      <c r="J15" s="8">
        <v>300.75</v>
      </c>
      <c r="K15" s="8">
        <v>314.94</v>
      </c>
      <c r="O15" s="14">
        <f t="shared" si="1"/>
        <v>452</v>
      </c>
      <c r="P15" s="14">
        <f t="shared" si="2"/>
        <v>300.75</v>
      </c>
      <c r="S15" s="20"/>
      <c r="T15" s="21" t="s">
        <v>410</v>
      </c>
      <c r="U15" s="22"/>
      <c r="V15" s="22"/>
      <c r="W15" s="22"/>
      <c r="X15" s="22"/>
    </row>
    <row r="16">
      <c r="B16" s="6" t="s">
        <v>49</v>
      </c>
      <c r="C16" s="6" t="s">
        <v>14</v>
      </c>
      <c r="D16" s="6" t="s">
        <v>31</v>
      </c>
      <c r="E16" s="6" t="s">
        <v>22</v>
      </c>
      <c r="F16" s="6" t="s">
        <v>17</v>
      </c>
      <c r="G16" s="6" t="s">
        <v>23</v>
      </c>
      <c r="H16" s="7">
        <v>44937.0</v>
      </c>
      <c r="I16" s="8">
        <v>235.0</v>
      </c>
      <c r="J16" s="8">
        <v>393.0</v>
      </c>
      <c r="K16" s="8">
        <v>230.69</v>
      </c>
      <c r="O16" s="14">
        <f t="shared" si="1"/>
        <v>235</v>
      </c>
      <c r="P16" s="14">
        <f t="shared" si="2"/>
        <v>393</v>
      </c>
      <c r="S16" s="20"/>
      <c r="T16" s="22"/>
      <c r="U16" s="22"/>
      <c r="V16" s="22"/>
      <c r="W16" s="22"/>
      <c r="X16" s="22"/>
    </row>
    <row r="17">
      <c r="B17" s="6" t="s">
        <v>50</v>
      </c>
      <c r="C17" s="6" t="s">
        <v>14</v>
      </c>
      <c r="D17" s="6" t="s">
        <v>39</v>
      </c>
      <c r="E17" s="6" t="s">
        <v>32</v>
      </c>
      <c r="F17" s="6" t="s">
        <v>28</v>
      </c>
      <c r="G17" s="6" t="s">
        <v>33</v>
      </c>
      <c r="H17" s="7">
        <v>44938.0</v>
      </c>
      <c r="I17" s="8">
        <v>481.0</v>
      </c>
      <c r="J17" s="8">
        <v>243.05</v>
      </c>
      <c r="K17" s="8">
        <v>227.5</v>
      </c>
      <c r="O17" s="14">
        <f t="shared" si="1"/>
        <v>481</v>
      </c>
      <c r="P17" s="14">
        <f t="shared" si="2"/>
        <v>243.05</v>
      </c>
      <c r="S17" s="20"/>
      <c r="T17" s="21" t="s">
        <v>411</v>
      </c>
      <c r="U17" s="22"/>
      <c r="V17" s="22"/>
      <c r="W17" s="22"/>
      <c r="X17" s="22"/>
    </row>
    <row r="18">
      <c r="B18" s="6" t="s">
        <v>51</v>
      </c>
      <c r="C18" s="6" t="s">
        <v>14</v>
      </c>
      <c r="D18" s="6" t="s">
        <v>15</v>
      </c>
      <c r="E18" s="6" t="s">
        <v>22</v>
      </c>
      <c r="F18" s="6" t="s">
        <v>28</v>
      </c>
      <c r="G18" s="6" t="s">
        <v>23</v>
      </c>
      <c r="H18" s="7">
        <v>44939.0</v>
      </c>
      <c r="I18" s="8">
        <v>133.0</v>
      </c>
      <c r="J18" s="8">
        <v>25.17</v>
      </c>
      <c r="K18" s="8">
        <v>157.64</v>
      </c>
      <c r="O18" s="14">
        <f t="shared" si="1"/>
        <v>133</v>
      </c>
      <c r="P18" s="14">
        <f t="shared" si="2"/>
        <v>25.17</v>
      </c>
      <c r="S18" s="20"/>
      <c r="T18" s="21" t="s">
        <v>412</v>
      </c>
      <c r="U18" s="22"/>
      <c r="V18" s="22"/>
      <c r="W18" s="22"/>
      <c r="X18" s="22"/>
    </row>
    <row r="19">
      <c r="B19" s="6" t="s">
        <v>52</v>
      </c>
      <c r="C19" s="6" t="s">
        <v>14</v>
      </c>
      <c r="D19" s="6" t="s">
        <v>31</v>
      </c>
      <c r="E19" s="6" t="s">
        <v>22</v>
      </c>
      <c r="F19" s="6" t="s">
        <v>28</v>
      </c>
      <c r="G19" s="6" t="s">
        <v>23</v>
      </c>
      <c r="H19" s="7">
        <v>44940.0</v>
      </c>
      <c r="I19" s="8">
        <v>472.0</v>
      </c>
      <c r="J19" s="8">
        <v>86.18</v>
      </c>
      <c r="K19" s="8">
        <v>201.46</v>
      </c>
      <c r="O19" s="14">
        <f t="shared" si="1"/>
        <v>472</v>
      </c>
      <c r="P19" s="14">
        <f t="shared" si="2"/>
        <v>86.18</v>
      </c>
      <c r="S19" s="20"/>
      <c r="T19" s="20"/>
      <c r="U19" s="20"/>
      <c r="V19" s="20"/>
      <c r="W19" s="20"/>
      <c r="X19" s="20"/>
    </row>
    <row r="20">
      <c r="B20" s="6" t="s">
        <v>53</v>
      </c>
      <c r="C20" s="6" t="s">
        <v>20</v>
      </c>
      <c r="D20" s="6" t="s">
        <v>21</v>
      </c>
      <c r="E20" s="6" t="s">
        <v>16</v>
      </c>
      <c r="F20" s="6" t="s">
        <v>28</v>
      </c>
      <c r="G20" s="6" t="s">
        <v>23</v>
      </c>
      <c r="H20" s="7">
        <v>44941.0</v>
      </c>
      <c r="I20" s="8">
        <v>47.0</v>
      </c>
      <c r="J20" s="8">
        <v>222.11</v>
      </c>
      <c r="K20" s="8">
        <v>160.08</v>
      </c>
      <c r="O20" s="14">
        <f t="shared" si="1"/>
        <v>47</v>
      </c>
      <c r="P20" s="14">
        <f t="shared" si="2"/>
        <v>222.11</v>
      </c>
      <c r="S20" s="20"/>
      <c r="T20" s="20"/>
      <c r="U20" s="20"/>
      <c r="V20" s="20"/>
      <c r="W20" s="20"/>
      <c r="X20" s="20"/>
    </row>
    <row r="21">
      <c r="B21" s="6" t="s">
        <v>54</v>
      </c>
      <c r="C21" s="6" t="s">
        <v>26</v>
      </c>
      <c r="D21" s="6" t="s">
        <v>15</v>
      </c>
      <c r="E21" s="6" t="s">
        <v>55</v>
      </c>
      <c r="F21" s="6" t="s">
        <v>17</v>
      </c>
      <c r="G21" s="6" t="s">
        <v>18</v>
      </c>
      <c r="H21" s="7">
        <v>44942.0</v>
      </c>
      <c r="I21" s="8">
        <v>337.0</v>
      </c>
      <c r="J21" s="8">
        <v>363.79</v>
      </c>
      <c r="K21" s="8">
        <v>216.81</v>
      </c>
      <c r="O21" s="14">
        <f t="shared" si="1"/>
        <v>337</v>
      </c>
      <c r="P21" s="14">
        <f t="shared" si="2"/>
        <v>363.79</v>
      </c>
    </row>
    <row r="22">
      <c r="B22" s="6" t="s">
        <v>56</v>
      </c>
      <c r="C22" s="6" t="s">
        <v>20</v>
      </c>
      <c r="D22" s="6" t="s">
        <v>15</v>
      </c>
      <c r="E22" s="6" t="s">
        <v>55</v>
      </c>
      <c r="F22" s="6" t="s">
        <v>17</v>
      </c>
      <c r="G22" s="6" t="s">
        <v>18</v>
      </c>
      <c r="H22" s="7">
        <v>44943.0</v>
      </c>
      <c r="I22" s="8">
        <v>260.0</v>
      </c>
      <c r="J22" s="8">
        <v>298.67</v>
      </c>
      <c r="K22" s="8">
        <v>251.92</v>
      </c>
      <c r="O22" s="14">
        <f t="shared" si="1"/>
        <v>260</v>
      </c>
      <c r="P22" s="14">
        <f t="shared" si="2"/>
        <v>298.67</v>
      </c>
    </row>
    <row r="23">
      <c r="B23" s="6" t="s">
        <v>57</v>
      </c>
      <c r="C23" s="6"/>
      <c r="D23" s="6" t="s">
        <v>21</v>
      </c>
      <c r="E23" s="6" t="s">
        <v>27</v>
      </c>
      <c r="F23" s="6" t="s">
        <v>28</v>
      </c>
      <c r="G23" s="6" t="s">
        <v>33</v>
      </c>
      <c r="H23" s="7">
        <v>44944.0</v>
      </c>
      <c r="I23" s="8">
        <v>398.0</v>
      </c>
      <c r="J23" s="8">
        <v>326.9</v>
      </c>
      <c r="K23" s="8">
        <v>270.37</v>
      </c>
      <c r="O23" s="14">
        <f t="shared" si="1"/>
        <v>398</v>
      </c>
      <c r="P23" s="14">
        <f t="shared" si="2"/>
        <v>326.9</v>
      </c>
    </row>
    <row r="24">
      <c r="B24" s="6" t="s">
        <v>58</v>
      </c>
      <c r="C24" s="6" t="s">
        <v>20</v>
      </c>
      <c r="D24" s="6" t="s">
        <v>31</v>
      </c>
      <c r="E24" s="6" t="s">
        <v>16</v>
      </c>
      <c r="F24" s="6" t="s">
        <v>17</v>
      </c>
      <c r="G24" s="6" t="s">
        <v>33</v>
      </c>
      <c r="H24" s="7">
        <v>44945.0</v>
      </c>
      <c r="I24" s="8">
        <v>185.0</v>
      </c>
      <c r="J24" s="8">
        <v>242.24</v>
      </c>
      <c r="K24" s="8">
        <v>213.93</v>
      </c>
      <c r="O24" s="14">
        <f t="shared" si="1"/>
        <v>185</v>
      </c>
      <c r="P24" s="14">
        <f t="shared" si="2"/>
        <v>242.24</v>
      </c>
    </row>
    <row r="25">
      <c r="B25" s="6" t="s">
        <v>59</v>
      </c>
      <c r="C25" s="6" t="s">
        <v>14</v>
      </c>
      <c r="D25" s="6" t="s">
        <v>21</v>
      </c>
      <c r="E25" s="6" t="s">
        <v>22</v>
      </c>
      <c r="F25" s="6" t="s">
        <v>28</v>
      </c>
      <c r="G25" s="6" t="s">
        <v>18</v>
      </c>
      <c r="H25" s="7">
        <v>44946.0</v>
      </c>
      <c r="I25" s="8">
        <v>99.0</v>
      </c>
      <c r="J25" s="8">
        <v>309.79</v>
      </c>
      <c r="K25" s="8">
        <v>289.13</v>
      </c>
      <c r="O25" s="14">
        <f t="shared" si="1"/>
        <v>99</v>
      </c>
      <c r="P25" s="14">
        <f t="shared" si="2"/>
        <v>309.79</v>
      </c>
    </row>
    <row r="26">
      <c r="B26" s="6" t="s">
        <v>60</v>
      </c>
      <c r="C26" s="6" t="s">
        <v>61</v>
      </c>
      <c r="D26" s="6" t="s">
        <v>15</v>
      </c>
      <c r="E26" s="6" t="s">
        <v>55</v>
      </c>
      <c r="F26" s="6" t="s">
        <v>28</v>
      </c>
      <c r="G26" s="6" t="s">
        <v>33</v>
      </c>
      <c r="H26" s="7">
        <v>44947.0</v>
      </c>
      <c r="I26" s="8">
        <v>411.0</v>
      </c>
      <c r="J26" s="8">
        <v>167.86</v>
      </c>
      <c r="K26" s="8">
        <v>58.23</v>
      </c>
      <c r="O26" s="14">
        <f t="shared" si="1"/>
        <v>411</v>
      </c>
      <c r="P26" s="14">
        <f t="shared" si="2"/>
        <v>167.86</v>
      </c>
    </row>
    <row r="27">
      <c r="B27" s="6" t="s">
        <v>62</v>
      </c>
      <c r="C27" s="6" t="s">
        <v>26</v>
      </c>
      <c r="D27" s="6" t="s">
        <v>63</v>
      </c>
      <c r="E27" s="6" t="s">
        <v>22</v>
      </c>
      <c r="F27" s="6" t="s">
        <v>28</v>
      </c>
      <c r="G27" s="6" t="s">
        <v>18</v>
      </c>
      <c r="H27" s="7">
        <v>44948.0</v>
      </c>
      <c r="I27" s="8">
        <v>463.0</v>
      </c>
      <c r="J27" s="8">
        <v>237.74</v>
      </c>
      <c r="K27" s="8">
        <v>86.37</v>
      </c>
      <c r="O27" s="14">
        <f t="shared" si="1"/>
        <v>463</v>
      </c>
      <c r="P27" s="14">
        <f t="shared" si="2"/>
        <v>237.74</v>
      </c>
    </row>
    <row r="28">
      <c r="B28" s="6" t="s">
        <v>64</v>
      </c>
      <c r="C28" s="6" t="s">
        <v>61</v>
      </c>
      <c r="D28" s="6" t="s">
        <v>63</v>
      </c>
      <c r="E28" s="6" t="s">
        <v>55</v>
      </c>
      <c r="F28" s="6" t="s">
        <v>17</v>
      </c>
      <c r="G28" s="6" t="s">
        <v>23</v>
      </c>
      <c r="H28" s="7">
        <v>44949.0</v>
      </c>
      <c r="I28" s="8">
        <v>46.0</v>
      </c>
      <c r="J28" s="8">
        <v>373.42</v>
      </c>
      <c r="K28" s="8">
        <v>327.86</v>
      </c>
      <c r="O28" s="14">
        <f t="shared" si="1"/>
        <v>46</v>
      </c>
      <c r="P28" s="14">
        <f t="shared" si="2"/>
        <v>373.42</v>
      </c>
    </row>
    <row r="29">
      <c r="B29" s="6" t="s">
        <v>65</v>
      </c>
      <c r="C29" s="6" t="s">
        <v>20</v>
      </c>
      <c r="D29" s="6" t="s">
        <v>39</v>
      </c>
      <c r="E29" s="6" t="s">
        <v>55</v>
      </c>
      <c r="F29" s="6" t="s">
        <v>28</v>
      </c>
      <c r="G29" s="6" t="s">
        <v>33</v>
      </c>
      <c r="H29" s="7">
        <v>44950.0</v>
      </c>
      <c r="I29" s="8">
        <v>325.0</v>
      </c>
      <c r="J29" s="8">
        <v>436.56</v>
      </c>
      <c r="K29" s="8">
        <v>130.37</v>
      </c>
      <c r="O29" s="14">
        <f t="shared" si="1"/>
        <v>325</v>
      </c>
      <c r="P29" s="14">
        <f t="shared" si="2"/>
        <v>436.56</v>
      </c>
    </row>
    <row r="30">
      <c r="B30" s="6" t="s">
        <v>66</v>
      </c>
      <c r="C30" s="6" t="s">
        <v>20</v>
      </c>
      <c r="D30" s="6" t="s">
        <v>21</v>
      </c>
      <c r="E30" s="6"/>
      <c r="F30" s="6" t="s">
        <v>28</v>
      </c>
      <c r="G30" s="6" t="s">
        <v>33</v>
      </c>
      <c r="H30" s="7">
        <v>44951.0</v>
      </c>
      <c r="I30" s="8">
        <v>185.0</v>
      </c>
      <c r="J30" s="8">
        <v>219.66</v>
      </c>
      <c r="K30" s="8">
        <v>11.11</v>
      </c>
      <c r="O30" s="14">
        <f t="shared" si="1"/>
        <v>185</v>
      </c>
      <c r="P30" s="14">
        <f t="shared" si="2"/>
        <v>219.66</v>
      </c>
    </row>
    <row r="31">
      <c r="B31" s="6" t="s">
        <v>67</v>
      </c>
      <c r="C31" s="6" t="s">
        <v>61</v>
      </c>
      <c r="D31" s="6" t="s">
        <v>21</v>
      </c>
      <c r="E31" s="6" t="s">
        <v>16</v>
      </c>
      <c r="F31" s="6" t="s">
        <v>28</v>
      </c>
      <c r="G31" s="6" t="s">
        <v>18</v>
      </c>
      <c r="H31" s="7">
        <v>44952.0</v>
      </c>
      <c r="I31" s="8">
        <v>470.0</v>
      </c>
      <c r="J31" s="8">
        <v>26.61</v>
      </c>
      <c r="K31" s="8">
        <v>63.21</v>
      </c>
      <c r="O31" s="14">
        <f t="shared" si="1"/>
        <v>470</v>
      </c>
      <c r="P31" s="14">
        <f t="shared" si="2"/>
        <v>26.61</v>
      </c>
    </row>
    <row r="32">
      <c r="B32" s="6" t="s">
        <v>68</v>
      </c>
      <c r="C32" s="6" t="s">
        <v>61</v>
      </c>
      <c r="D32" s="6" t="s">
        <v>39</v>
      </c>
      <c r="E32" s="6" t="s">
        <v>32</v>
      </c>
      <c r="F32" s="6" t="s">
        <v>17</v>
      </c>
      <c r="G32" s="6" t="s">
        <v>33</v>
      </c>
      <c r="H32" s="7">
        <v>44953.0</v>
      </c>
      <c r="I32" s="8">
        <v>293.0</v>
      </c>
      <c r="J32" s="8">
        <v>85.03</v>
      </c>
      <c r="K32" s="8">
        <v>91.0</v>
      </c>
      <c r="O32" s="14">
        <f t="shared" si="1"/>
        <v>293</v>
      </c>
      <c r="P32" s="14">
        <f t="shared" si="2"/>
        <v>85.03</v>
      </c>
    </row>
    <row r="33">
      <c r="B33" s="6" t="s">
        <v>69</v>
      </c>
      <c r="C33" s="6" t="s">
        <v>61</v>
      </c>
      <c r="D33" s="6" t="s">
        <v>39</v>
      </c>
      <c r="E33" s="6" t="s">
        <v>22</v>
      </c>
      <c r="F33" s="6" t="s">
        <v>17</v>
      </c>
      <c r="G33" s="6" t="s">
        <v>33</v>
      </c>
      <c r="H33" s="7">
        <v>44954.0</v>
      </c>
      <c r="I33" s="8">
        <v>462.0</v>
      </c>
      <c r="J33" s="6"/>
      <c r="K33" s="8">
        <v>383.01</v>
      </c>
      <c r="O33" s="14">
        <f t="shared" si="1"/>
        <v>462</v>
      </c>
      <c r="P33" s="14">
        <f t="shared" si="2"/>
        <v>249.6452059</v>
      </c>
    </row>
    <row r="34">
      <c r="B34" s="6" t="s">
        <v>70</v>
      </c>
      <c r="C34" s="6" t="s">
        <v>20</v>
      </c>
      <c r="D34" s="6" t="s">
        <v>39</v>
      </c>
      <c r="E34" s="6" t="s">
        <v>16</v>
      </c>
      <c r="F34" s="6" t="s">
        <v>28</v>
      </c>
      <c r="G34" s="6" t="s">
        <v>23</v>
      </c>
      <c r="H34" s="7">
        <v>44955.0</v>
      </c>
      <c r="I34" s="8">
        <v>470.0</v>
      </c>
      <c r="J34" s="8">
        <v>328.37</v>
      </c>
      <c r="K34" s="8">
        <v>230.07</v>
      </c>
      <c r="O34" s="14">
        <f t="shared" si="1"/>
        <v>470</v>
      </c>
      <c r="P34" s="14">
        <f t="shared" si="2"/>
        <v>328.37</v>
      </c>
    </row>
    <row r="35">
      <c r="B35" s="6" t="s">
        <v>71</v>
      </c>
      <c r="C35" s="6" t="s">
        <v>20</v>
      </c>
      <c r="D35" s="6" t="s">
        <v>15</v>
      </c>
      <c r="E35" s="6" t="s">
        <v>16</v>
      </c>
      <c r="F35" s="6" t="s">
        <v>17</v>
      </c>
      <c r="G35" s="6" t="s">
        <v>33</v>
      </c>
      <c r="H35" s="7">
        <v>44956.0</v>
      </c>
      <c r="I35" s="8">
        <v>90.0</v>
      </c>
      <c r="J35" s="8">
        <v>169.5</v>
      </c>
      <c r="K35" s="8">
        <v>373.23</v>
      </c>
      <c r="O35" s="14">
        <f t="shared" si="1"/>
        <v>90</v>
      </c>
      <c r="P35" s="14">
        <f t="shared" si="2"/>
        <v>169.5</v>
      </c>
    </row>
    <row r="36">
      <c r="B36" s="6" t="s">
        <v>72</v>
      </c>
      <c r="C36" s="6"/>
      <c r="D36" s="6" t="s">
        <v>21</v>
      </c>
      <c r="E36" s="6" t="s">
        <v>16</v>
      </c>
      <c r="F36" s="6" t="s">
        <v>17</v>
      </c>
      <c r="G36" s="6" t="s">
        <v>23</v>
      </c>
      <c r="H36" s="7">
        <v>44957.0</v>
      </c>
      <c r="I36" s="8">
        <v>123.0</v>
      </c>
      <c r="J36" s="8">
        <v>273.53</v>
      </c>
      <c r="K36" s="8">
        <v>230.92</v>
      </c>
      <c r="O36" s="14">
        <f t="shared" si="1"/>
        <v>123</v>
      </c>
      <c r="P36" s="14">
        <f t="shared" si="2"/>
        <v>273.53</v>
      </c>
    </row>
    <row r="37">
      <c r="B37" s="6" t="s">
        <v>73</v>
      </c>
      <c r="C37" s="6" t="s">
        <v>26</v>
      </c>
      <c r="D37" s="6" t="s">
        <v>15</v>
      </c>
      <c r="E37" s="6" t="s">
        <v>16</v>
      </c>
      <c r="F37" s="6" t="s">
        <v>17</v>
      </c>
      <c r="G37" s="6" t="s">
        <v>18</v>
      </c>
      <c r="H37" s="7">
        <v>44958.0</v>
      </c>
      <c r="I37" s="8">
        <v>49.0</v>
      </c>
      <c r="J37" s="8">
        <v>249.17</v>
      </c>
      <c r="K37" s="8">
        <v>192.78</v>
      </c>
      <c r="O37" s="14">
        <f t="shared" si="1"/>
        <v>49</v>
      </c>
      <c r="P37" s="14">
        <f t="shared" si="2"/>
        <v>249.17</v>
      </c>
    </row>
    <row r="38">
      <c r="B38" s="6" t="s">
        <v>74</v>
      </c>
      <c r="C38" s="6" t="s">
        <v>20</v>
      </c>
      <c r="D38" s="6" t="s">
        <v>39</v>
      </c>
      <c r="E38" s="6" t="s">
        <v>16</v>
      </c>
      <c r="F38" s="6" t="s">
        <v>17</v>
      </c>
      <c r="G38" s="6" t="s">
        <v>33</v>
      </c>
      <c r="H38" s="7">
        <v>44959.0</v>
      </c>
      <c r="I38" s="8">
        <v>310.0</v>
      </c>
      <c r="J38" s="8">
        <v>45.36</v>
      </c>
      <c r="K38" s="8">
        <v>126.86</v>
      </c>
      <c r="O38" s="14">
        <f t="shared" si="1"/>
        <v>310</v>
      </c>
      <c r="P38" s="14">
        <f t="shared" si="2"/>
        <v>45.36</v>
      </c>
    </row>
    <row r="39">
      <c r="B39" s="6" t="s">
        <v>75</v>
      </c>
      <c r="C39" s="6" t="s">
        <v>61</v>
      </c>
      <c r="D39" s="6" t="s">
        <v>21</v>
      </c>
      <c r="E39" s="6" t="s">
        <v>27</v>
      </c>
      <c r="F39" s="6" t="s">
        <v>17</v>
      </c>
      <c r="G39" s="6" t="s">
        <v>23</v>
      </c>
      <c r="H39" s="7">
        <v>44960.0</v>
      </c>
      <c r="I39" s="8">
        <v>233.0</v>
      </c>
      <c r="J39" s="8">
        <v>204.61</v>
      </c>
      <c r="K39" s="8">
        <v>243.34</v>
      </c>
      <c r="O39" s="14">
        <f t="shared" si="1"/>
        <v>233</v>
      </c>
      <c r="P39" s="14">
        <f t="shared" si="2"/>
        <v>204.61</v>
      </c>
    </row>
    <row r="40">
      <c r="B40" s="6" t="s">
        <v>76</v>
      </c>
      <c r="C40" s="6" t="s">
        <v>61</v>
      </c>
      <c r="D40" s="6" t="s">
        <v>15</v>
      </c>
      <c r="E40" s="6" t="s">
        <v>22</v>
      </c>
      <c r="F40" s="6" t="s">
        <v>17</v>
      </c>
      <c r="G40" s="6" t="s">
        <v>18</v>
      </c>
      <c r="H40" s="7">
        <v>44961.0</v>
      </c>
      <c r="I40" s="8">
        <v>327.0</v>
      </c>
      <c r="J40" s="8">
        <v>114.18</v>
      </c>
      <c r="K40" s="8">
        <v>57.4</v>
      </c>
      <c r="O40" s="14">
        <f t="shared" si="1"/>
        <v>327</v>
      </c>
      <c r="P40" s="14">
        <f t="shared" si="2"/>
        <v>114.18</v>
      </c>
    </row>
    <row r="41">
      <c r="B41" s="6" t="s">
        <v>77</v>
      </c>
      <c r="C41" s="6" t="s">
        <v>26</v>
      </c>
      <c r="D41" s="6" t="s">
        <v>15</v>
      </c>
      <c r="E41" s="6" t="s">
        <v>16</v>
      </c>
      <c r="F41" s="6" t="s">
        <v>17</v>
      </c>
      <c r="G41" s="6" t="s">
        <v>33</v>
      </c>
      <c r="H41" s="7">
        <v>44962.0</v>
      </c>
      <c r="I41" s="8">
        <v>358.0</v>
      </c>
      <c r="J41" s="8">
        <v>212.11</v>
      </c>
      <c r="K41" s="8">
        <v>359.51</v>
      </c>
      <c r="O41" s="14">
        <f t="shared" si="1"/>
        <v>358</v>
      </c>
      <c r="P41" s="14">
        <f t="shared" si="2"/>
        <v>212.11</v>
      </c>
    </row>
    <row r="42">
      <c r="B42" s="6" t="s">
        <v>78</v>
      </c>
      <c r="C42" s="6" t="s">
        <v>20</v>
      </c>
      <c r="D42" s="6" t="s">
        <v>39</v>
      </c>
      <c r="E42" s="6" t="s">
        <v>22</v>
      </c>
      <c r="F42" s="6" t="s">
        <v>17</v>
      </c>
      <c r="G42" s="6" t="s">
        <v>18</v>
      </c>
      <c r="H42" s="7">
        <v>44963.0</v>
      </c>
      <c r="I42" s="8">
        <v>124.0</v>
      </c>
      <c r="J42" s="6"/>
      <c r="K42" s="8">
        <v>332.07</v>
      </c>
      <c r="O42" s="14">
        <f t="shared" si="1"/>
        <v>124</v>
      </c>
      <c r="P42" s="14">
        <f t="shared" si="2"/>
        <v>249.6452059</v>
      </c>
    </row>
    <row r="43">
      <c r="B43" s="6" t="s">
        <v>79</v>
      </c>
      <c r="C43" s="6" t="s">
        <v>26</v>
      </c>
      <c r="D43" s="6" t="s">
        <v>21</v>
      </c>
      <c r="E43" s="6" t="s">
        <v>27</v>
      </c>
      <c r="F43" s="6" t="s">
        <v>17</v>
      </c>
      <c r="G43" s="6" t="s">
        <v>33</v>
      </c>
      <c r="H43" s="7">
        <v>44964.0</v>
      </c>
      <c r="I43" s="8">
        <v>195.0</v>
      </c>
      <c r="J43" s="8">
        <v>421.02</v>
      </c>
      <c r="K43" s="8">
        <v>128.38</v>
      </c>
      <c r="O43" s="14">
        <f t="shared" si="1"/>
        <v>195</v>
      </c>
      <c r="P43" s="14">
        <f t="shared" si="2"/>
        <v>421.02</v>
      </c>
    </row>
    <row r="44">
      <c r="B44" s="6" t="s">
        <v>80</v>
      </c>
      <c r="C44" s="6" t="s">
        <v>26</v>
      </c>
      <c r="D44" s="6" t="s">
        <v>39</v>
      </c>
      <c r="E44" s="6" t="s">
        <v>27</v>
      </c>
      <c r="F44" s="6" t="s">
        <v>17</v>
      </c>
      <c r="G44" s="6" t="s">
        <v>18</v>
      </c>
      <c r="H44" s="7">
        <v>44965.0</v>
      </c>
      <c r="I44" s="6"/>
      <c r="J44" s="8">
        <v>91.23</v>
      </c>
      <c r="K44" s="8">
        <v>381.21</v>
      </c>
      <c r="O44" s="14">
        <f t="shared" si="1"/>
        <v>49</v>
      </c>
      <c r="P44" s="14">
        <f t="shared" si="2"/>
        <v>91.23</v>
      </c>
    </row>
    <row r="45">
      <c r="B45" s="6" t="s">
        <v>81</v>
      </c>
      <c r="C45" s="6" t="s">
        <v>14</v>
      </c>
      <c r="D45" s="6" t="s">
        <v>21</v>
      </c>
      <c r="E45" s="6" t="s">
        <v>22</v>
      </c>
      <c r="F45" s="6" t="s">
        <v>28</v>
      </c>
      <c r="G45" s="6" t="s">
        <v>18</v>
      </c>
      <c r="H45" s="7">
        <v>44966.0</v>
      </c>
      <c r="I45" s="8">
        <v>65.0</v>
      </c>
      <c r="J45" s="8">
        <v>480.59</v>
      </c>
      <c r="K45" s="8">
        <v>330.43</v>
      </c>
      <c r="O45" s="14">
        <f t="shared" si="1"/>
        <v>65</v>
      </c>
      <c r="P45" s="14">
        <f t="shared" si="2"/>
        <v>480.59</v>
      </c>
    </row>
    <row r="46">
      <c r="B46" s="6" t="s">
        <v>82</v>
      </c>
      <c r="C46" s="6" t="s">
        <v>14</v>
      </c>
      <c r="D46" s="6" t="s">
        <v>63</v>
      </c>
      <c r="E46" s="6" t="s">
        <v>55</v>
      </c>
      <c r="F46" s="6" t="s">
        <v>28</v>
      </c>
      <c r="G46" s="6" t="s">
        <v>23</v>
      </c>
      <c r="H46" s="7">
        <v>44967.0</v>
      </c>
      <c r="I46" s="8">
        <v>49.0</v>
      </c>
      <c r="J46" s="8">
        <v>210.87</v>
      </c>
      <c r="K46" s="8">
        <v>267.19</v>
      </c>
      <c r="O46" s="14">
        <f t="shared" si="1"/>
        <v>49</v>
      </c>
      <c r="P46" s="14">
        <f t="shared" si="2"/>
        <v>210.87</v>
      </c>
    </row>
    <row r="47">
      <c r="B47" s="6" t="s">
        <v>83</v>
      </c>
      <c r="C47" s="6" t="s">
        <v>14</v>
      </c>
      <c r="D47" s="6" t="s">
        <v>31</v>
      </c>
      <c r="E47" s="6" t="s">
        <v>32</v>
      </c>
      <c r="F47" s="6" t="s">
        <v>17</v>
      </c>
      <c r="G47" s="6" t="s">
        <v>18</v>
      </c>
      <c r="H47" s="7">
        <v>44968.0</v>
      </c>
      <c r="I47" s="8">
        <v>363.0</v>
      </c>
      <c r="J47" s="8">
        <v>423.89</v>
      </c>
      <c r="K47" s="8">
        <v>50.46</v>
      </c>
      <c r="O47" s="14">
        <f t="shared" si="1"/>
        <v>363</v>
      </c>
      <c r="P47" s="14">
        <f t="shared" si="2"/>
        <v>423.89</v>
      </c>
    </row>
    <row r="48">
      <c r="B48" s="6" t="s">
        <v>84</v>
      </c>
      <c r="C48" s="6" t="s">
        <v>61</v>
      </c>
      <c r="D48" s="6" t="s">
        <v>31</v>
      </c>
      <c r="E48" s="6" t="s">
        <v>55</v>
      </c>
      <c r="F48" s="6" t="s">
        <v>28</v>
      </c>
      <c r="G48" s="6" t="s">
        <v>33</v>
      </c>
      <c r="H48" s="7">
        <v>44969.0</v>
      </c>
      <c r="I48" s="8">
        <v>49.0</v>
      </c>
      <c r="J48" s="8">
        <v>316.24</v>
      </c>
      <c r="K48" s="8">
        <v>192.34</v>
      </c>
      <c r="O48" s="14">
        <f t="shared" si="1"/>
        <v>49</v>
      </c>
      <c r="P48" s="14">
        <f t="shared" si="2"/>
        <v>316.24</v>
      </c>
    </row>
    <row r="49">
      <c r="B49" s="6" t="s">
        <v>85</v>
      </c>
      <c r="C49" s="6" t="s">
        <v>20</v>
      </c>
      <c r="D49" s="6" t="s">
        <v>31</v>
      </c>
      <c r="E49" s="6" t="s">
        <v>55</v>
      </c>
      <c r="F49" s="6" t="s">
        <v>28</v>
      </c>
      <c r="G49" s="6" t="s">
        <v>33</v>
      </c>
      <c r="H49" s="7">
        <v>44970.0</v>
      </c>
      <c r="I49" s="8">
        <v>356.0</v>
      </c>
      <c r="J49" s="8">
        <v>369.0</v>
      </c>
      <c r="K49" s="8">
        <v>203.43</v>
      </c>
      <c r="O49" s="14">
        <f t="shared" si="1"/>
        <v>356</v>
      </c>
      <c r="P49" s="14">
        <f t="shared" si="2"/>
        <v>369</v>
      </c>
    </row>
    <row r="50">
      <c r="B50" s="6" t="s">
        <v>86</v>
      </c>
      <c r="C50" s="6" t="s">
        <v>20</v>
      </c>
      <c r="D50" s="6" t="s">
        <v>39</v>
      </c>
      <c r="E50" s="6" t="s">
        <v>55</v>
      </c>
      <c r="F50" s="6" t="s">
        <v>17</v>
      </c>
      <c r="G50" s="6" t="s">
        <v>23</v>
      </c>
      <c r="H50" s="7">
        <v>44971.0</v>
      </c>
      <c r="I50" s="8">
        <v>470.0</v>
      </c>
      <c r="J50" s="6"/>
      <c r="K50" s="8">
        <v>94.56</v>
      </c>
      <c r="O50" s="14">
        <f t="shared" si="1"/>
        <v>470</v>
      </c>
      <c r="P50" s="14">
        <f t="shared" si="2"/>
        <v>249.6452059</v>
      </c>
    </row>
    <row r="51">
      <c r="B51" s="6" t="s">
        <v>87</v>
      </c>
      <c r="C51" s="6" t="s">
        <v>20</v>
      </c>
      <c r="D51" s="6" t="s">
        <v>63</v>
      </c>
      <c r="E51" s="6" t="s">
        <v>16</v>
      </c>
      <c r="F51" s="6" t="s">
        <v>17</v>
      </c>
      <c r="G51" s="6" t="s">
        <v>33</v>
      </c>
      <c r="H51" s="7">
        <v>44972.0</v>
      </c>
      <c r="I51" s="8">
        <v>246.0</v>
      </c>
      <c r="J51" s="8">
        <v>254.9</v>
      </c>
      <c r="K51" s="8">
        <v>33.83</v>
      </c>
      <c r="O51" s="14">
        <f t="shared" si="1"/>
        <v>246</v>
      </c>
      <c r="P51" s="14">
        <f t="shared" si="2"/>
        <v>254.9</v>
      </c>
    </row>
    <row r="52">
      <c r="B52" s="6" t="s">
        <v>88</v>
      </c>
      <c r="C52" s="6" t="s">
        <v>20</v>
      </c>
      <c r="D52" s="6" t="s">
        <v>21</v>
      </c>
      <c r="E52" s="6" t="s">
        <v>27</v>
      </c>
      <c r="F52" s="6" t="s">
        <v>17</v>
      </c>
      <c r="G52" s="6" t="s">
        <v>33</v>
      </c>
      <c r="H52" s="7">
        <v>44973.0</v>
      </c>
      <c r="I52" s="8">
        <v>298.0</v>
      </c>
      <c r="J52" s="8">
        <v>273.93</v>
      </c>
      <c r="K52" s="8">
        <v>311.14</v>
      </c>
      <c r="O52" s="14">
        <f t="shared" si="1"/>
        <v>298</v>
      </c>
      <c r="P52" s="14">
        <f t="shared" si="2"/>
        <v>273.93</v>
      </c>
    </row>
    <row r="53">
      <c r="B53" s="6" t="s">
        <v>89</v>
      </c>
      <c r="C53" s="6" t="s">
        <v>14</v>
      </c>
      <c r="D53" s="6" t="s">
        <v>15</v>
      </c>
      <c r="E53" s="6" t="s">
        <v>55</v>
      </c>
      <c r="F53" s="6" t="s">
        <v>28</v>
      </c>
      <c r="G53" s="6" t="s">
        <v>33</v>
      </c>
      <c r="H53" s="7">
        <v>44974.0</v>
      </c>
      <c r="I53" s="8">
        <v>271.0</v>
      </c>
      <c r="J53" s="8">
        <v>259.43</v>
      </c>
      <c r="K53" s="8">
        <v>50.57</v>
      </c>
      <c r="O53" s="14">
        <f t="shared" si="1"/>
        <v>271</v>
      </c>
      <c r="P53" s="14">
        <f t="shared" si="2"/>
        <v>259.43</v>
      </c>
    </row>
    <row r="54">
      <c r="B54" s="6" t="s">
        <v>90</v>
      </c>
      <c r="C54" s="6" t="s">
        <v>61</v>
      </c>
      <c r="D54" s="6" t="s">
        <v>21</v>
      </c>
      <c r="E54" s="6" t="s">
        <v>27</v>
      </c>
      <c r="F54" s="6" t="s">
        <v>28</v>
      </c>
      <c r="G54" s="6" t="s">
        <v>18</v>
      </c>
      <c r="H54" s="7">
        <v>44975.0</v>
      </c>
      <c r="I54" s="8">
        <v>225.0</v>
      </c>
      <c r="J54" s="8">
        <v>296.09</v>
      </c>
      <c r="K54" s="8">
        <v>238.53</v>
      </c>
      <c r="O54" s="14">
        <f t="shared" si="1"/>
        <v>225</v>
      </c>
      <c r="P54" s="14">
        <f t="shared" si="2"/>
        <v>296.09</v>
      </c>
    </row>
    <row r="55">
      <c r="B55" s="6" t="s">
        <v>91</v>
      </c>
      <c r="C55" s="6"/>
      <c r="D55" s="6" t="s">
        <v>15</v>
      </c>
      <c r="E55" s="6" t="s">
        <v>22</v>
      </c>
      <c r="F55" s="6" t="s">
        <v>17</v>
      </c>
      <c r="G55" s="6" t="s">
        <v>18</v>
      </c>
      <c r="H55" s="7">
        <v>44976.0</v>
      </c>
      <c r="I55" s="8">
        <v>156.0</v>
      </c>
      <c r="J55" s="8">
        <v>19.55</v>
      </c>
      <c r="K55" s="8">
        <v>374.71</v>
      </c>
      <c r="O55" s="14">
        <f t="shared" si="1"/>
        <v>156</v>
      </c>
      <c r="P55" s="14">
        <f t="shared" si="2"/>
        <v>19.55</v>
      </c>
    </row>
    <row r="56">
      <c r="B56" s="6" t="s">
        <v>92</v>
      </c>
      <c r="C56" s="6" t="s">
        <v>14</v>
      </c>
      <c r="D56" s="6" t="s">
        <v>21</v>
      </c>
      <c r="E56" s="6" t="s">
        <v>32</v>
      </c>
      <c r="F56" s="6" t="s">
        <v>17</v>
      </c>
      <c r="G56" s="6" t="s">
        <v>33</v>
      </c>
      <c r="H56" s="7">
        <v>44977.0</v>
      </c>
      <c r="I56" s="8">
        <v>345.0</v>
      </c>
      <c r="J56" s="8">
        <v>200.78</v>
      </c>
      <c r="K56" s="8">
        <v>350.69</v>
      </c>
      <c r="O56" s="14">
        <f t="shared" si="1"/>
        <v>345</v>
      </c>
      <c r="P56" s="14">
        <f t="shared" si="2"/>
        <v>200.78</v>
      </c>
    </row>
    <row r="57">
      <c r="B57" s="6" t="s">
        <v>93</v>
      </c>
      <c r="C57" s="6" t="s">
        <v>61</v>
      </c>
      <c r="D57" s="6" t="s">
        <v>63</v>
      </c>
      <c r="E57" s="6" t="s">
        <v>22</v>
      </c>
      <c r="F57" s="6" t="s">
        <v>17</v>
      </c>
      <c r="G57" s="6" t="s">
        <v>23</v>
      </c>
      <c r="H57" s="7">
        <v>44978.0</v>
      </c>
      <c r="I57" s="8">
        <v>177.0</v>
      </c>
      <c r="J57" s="8">
        <v>305.06</v>
      </c>
      <c r="K57" s="8">
        <v>112.55</v>
      </c>
      <c r="O57" s="14">
        <f t="shared" si="1"/>
        <v>177</v>
      </c>
      <c r="P57" s="14">
        <f t="shared" si="2"/>
        <v>305.06</v>
      </c>
    </row>
    <row r="58">
      <c r="B58" s="6" t="s">
        <v>94</v>
      </c>
      <c r="C58" s="6" t="s">
        <v>14</v>
      </c>
      <c r="D58" s="6" t="s">
        <v>15</v>
      </c>
      <c r="E58" s="6" t="s">
        <v>22</v>
      </c>
      <c r="F58" s="6" t="s">
        <v>28</v>
      </c>
      <c r="G58" s="6" t="s">
        <v>18</v>
      </c>
      <c r="H58" s="7">
        <v>44979.0</v>
      </c>
      <c r="I58" s="8">
        <v>101.0</v>
      </c>
      <c r="J58" s="8">
        <v>300.87</v>
      </c>
      <c r="K58" s="8">
        <v>340.88</v>
      </c>
      <c r="O58" s="14">
        <f t="shared" si="1"/>
        <v>101</v>
      </c>
      <c r="P58" s="14">
        <f t="shared" si="2"/>
        <v>300.87</v>
      </c>
    </row>
    <row r="59">
      <c r="B59" s="6" t="s">
        <v>95</v>
      </c>
      <c r="C59" s="6" t="s">
        <v>20</v>
      </c>
      <c r="D59" s="6" t="s">
        <v>39</v>
      </c>
      <c r="E59" s="6" t="s">
        <v>16</v>
      </c>
      <c r="F59" s="6" t="s">
        <v>28</v>
      </c>
      <c r="G59" s="6" t="s">
        <v>23</v>
      </c>
      <c r="H59" s="7">
        <v>44980.0</v>
      </c>
      <c r="I59" s="8">
        <v>362.0</v>
      </c>
      <c r="J59" s="8">
        <v>397.51</v>
      </c>
      <c r="K59" s="8">
        <v>2.13</v>
      </c>
      <c r="O59" s="14">
        <f t="shared" si="1"/>
        <v>362</v>
      </c>
      <c r="P59" s="14">
        <f t="shared" si="2"/>
        <v>397.51</v>
      </c>
    </row>
    <row r="60">
      <c r="B60" s="6" t="s">
        <v>96</v>
      </c>
      <c r="C60" s="6" t="s">
        <v>14</v>
      </c>
      <c r="D60" s="6" t="s">
        <v>21</v>
      </c>
      <c r="E60" s="6" t="s">
        <v>32</v>
      </c>
      <c r="F60" s="6" t="s">
        <v>28</v>
      </c>
      <c r="G60" s="6" t="s">
        <v>33</v>
      </c>
      <c r="H60" s="7">
        <v>44981.0</v>
      </c>
      <c r="I60" s="8">
        <v>68.0</v>
      </c>
      <c r="J60" s="8">
        <v>329.23</v>
      </c>
      <c r="K60" s="8">
        <v>9.04</v>
      </c>
      <c r="O60" s="14">
        <f t="shared" si="1"/>
        <v>68</v>
      </c>
      <c r="P60" s="14">
        <f t="shared" si="2"/>
        <v>329.23</v>
      </c>
    </row>
    <row r="61">
      <c r="B61" s="6" t="s">
        <v>97</v>
      </c>
      <c r="C61" s="6" t="s">
        <v>20</v>
      </c>
      <c r="D61" s="6" t="s">
        <v>21</v>
      </c>
      <c r="E61" s="6" t="s">
        <v>22</v>
      </c>
      <c r="F61" s="6" t="s">
        <v>28</v>
      </c>
      <c r="G61" s="6" t="s">
        <v>33</v>
      </c>
      <c r="H61" s="7">
        <v>44982.0</v>
      </c>
      <c r="I61" s="8">
        <v>68.0</v>
      </c>
      <c r="J61" s="8">
        <v>496.11</v>
      </c>
      <c r="K61" s="8">
        <v>241.82</v>
      </c>
      <c r="O61" s="14">
        <f t="shared" si="1"/>
        <v>68</v>
      </c>
      <c r="P61" s="14">
        <f t="shared" si="2"/>
        <v>496.11</v>
      </c>
    </row>
    <row r="62">
      <c r="B62" s="6" t="s">
        <v>98</v>
      </c>
      <c r="C62" s="6" t="s">
        <v>20</v>
      </c>
      <c r="D62" s="6" t="s">
        <v>15</v>
      </c>
      <c r="E62" s="6" t="s">
        <v>22</v>
      </c>
      <c r="F62" s="6" t="s">
        <v>17</v>
      </c>
      <c r="G62" s="6" t="s">
        <v>18</v>
      </c>
      <c r="H62" s="7">
        <v>44983.0</v>
      </c>
      <c r="I62" s="8">
        <v>313.0</v>
      </c>
      <c r="J62" s="8">
        <v>145.51</v>
      </c>
      <c r="K62" s="8">
        <v>147.19</v>
      </c>
      <c r="O62" s="14">
        <f t="shared" si="1"/>
        <v>313</v>
      </c>
      <c r="P62" s="14">
        <f t="shared" si="2"/>
        <v>145.51</v>
      </c>
    </row>
    <row r="63">
      <c r="B63" s="6" t="s">
        <v>99</v>
      </c>
      <c r="C63" s="6" t="s">
        <v>26</v>
      </c>
      <c r="D63" s="6" t="s">
        <v>39</v>
      </c>
      <c r="E63" s="6" t="s">
        <v>32</v>
      </c>
      <c r="F63" s="6" t="s">
        <v>17</v>
      </c>
      <c r="G63" s="6" t="s">
        <v>33</v>
      </c>
      <c r="H63" s="7">
        <v>44984.0</v>
      </c>
      <c r="I63" s="8">
        <v>178.0</v>
      </c>
      <c r="J63" s="8">
        <v>182.78</v>
      </c>
      <c r="K63" s="8">
        <v>155.81</v>
      </c>
      <c r="O63" s="14">
        <f t="shared" si="1"/>
        <v>178</v>
      </c>
      <c r="P63" s="14">
        <f t="shared" si="2"/>
        <v>182.78</v>
      </c>
    </row>
    <row r="64">
      <c r="B64" s="6" t="s">
        <v>100</v>
      </c>
      <c r="C64" s="6" t="s">
        <v>14</v>
      </c>
      <c r="D64" s="6" t="s">
        <v>39</v>
      </c>
      <c r="E64" s="6" t="s">
        <v>32</v>
      </c>
      <c r="F64" s="6" t="s">
        <v>17</v>
      </c>
      <c r="G64" s="6" t="s">
        <v>18</v>
      </c>
      <c r="H64" s="7">
        <v>44985.0</v>
      </c>
      <c r="I64" s="8">
        <v>278.0</v>
      </c>
      <c r="J64" s="8">
        <v>195.0</v>
      </c>
      <c r="K64" s="8">
        <v>226.65</v>
      </c>
      <c r="O64" s="14">
        <f t="shared" si="1"/>
        <v>278</v>
      </c>
      <c r="P64" s="14">
        <f t="shared" si="2"/>
        <v>195</v>
      </c>
    </row>
    <row r="65">
      <c r="B65" s="6" t="s">
        <v>101</v>
      </c>
      <c r="C65" s="6" t="s">
        <v>26</v>
      </c>
      <c r="D65" s="6" t="s">
        <v>63</v>
      </c>
      <c r="E65" s="6" t="s">
        <v>22</v>
      </c>
      <c r="F65" s="6" t="s">
        <v>17</v>
      </c>
      <c r="G65" s="6" t="s">
        <v>33</v>
      </c>
      <c r="H65" s="7">
        <v>44986.0</v>
      </c>
      <c r="I65" s="8">
        <v>372.0</v>
      </c>
      <c r="J65" s="8">
        <v>235.58</v>
      </c>
      <c r="K65" s="8">
        <v>78.33</v>
      </c>
      <c r="O65" s="14">
        <f t="shared" si="1"/>
        <v>372</v>
      </c>
      <c r="P65" s="14">
        <f t="shared" si="2"/>
        <v>235.58</v>
      </c>
    </row>
    <row r="66">
      <c r="B66" s="6" t="s">
        <v>102</v>
      </c>
      <c r="C66" s="6" t="s">
        <v>14</v>
      </c>
      <c r="D66" s="6" t="s">
        <v>39</v>
      </c>
      <c r="E66" s="6" t="s">
        <v>32</v>
      </c>
      <c r="F66" s="6" t="s">
        <v>28</v>
      </c>
      <c r="G66" s="6" t="s">
        <v>33</v>
      </c>
      <c r="H66" s="7">
        <v>44987.0</v>
      </c>
      <c r="I66" s="8">
        <v>54.0</v>
      </c>
      <c r="J66" s="8">
        <v>418.82</v>
      </c>
      <c r="K66" s="8">
        <v>86.28</v>
      </c>
      <c r="O66" s="14">
        <f t="shared" si="1"/>
        <v>54</v>
      </c>
      <c r="P66" s="14">
        <f t="shared" si="2"/>
        <v>418.82</v>
      </c>
    </row>
    <row r="67">
      <c r="B67" s="6" t="s">
        <v>103</v>
      </c>
      <c r="C67" s="6" t="s">
        <v>14</v>
      </c>
      <c r="D67" s="6" t="s">
        <v>39</v>
      </c>
      <c r="E67" s="6" t="s">
        <v>22</v>
      </c>
      <c r="F67" s="6" t="s">
        <v>28</v>
      </c>
      <c r="G67" s="6" t="s">
        <v>18</v>
      </c>
      <c r="H67" s="7">
        <v>44988.0</v>
      </c>
      <c r="I67" s="8">
        <v>354.0</v>
      </c>
      <c r="J67" s="8">
        <v>121.72</v>
      </c>
      <c r="K67" s="8">
        <v>194.87</v>
      </c>
      <c r="O67" s="14">
        <f t="shared" si="1"/>
        <v>354</v>
      </c>
      <c r="P67" s="14">
        <f t="shared" si="2"/>
        <v>121.72</v>
      </c>
    </row>
    <row r="68">
      <c r="B68" s="6" t="s">
        <v>104</v>
      </c>
      <c r="C68" s="6" t="s">
        <v>26</v>
      </c>
      <c r="D68" s="6" t="s">
        <v>39</v>
      </c>
      <c r="E68" s="6" t="s">
        <v>22</v>
      </c>
      <c r="F68" s="6" t="s">
        <v>17</v>
      </c>
      <c r="G68" s="6" t="s">
        <v>18</v>
      </c>
      <c r="H68" s="7">
        <v>44989.0</v>
      </c>
      <c r="I68" s="8">
        <v>190.0</v>
      </c>
      <c r="J68" s="8">
        <v>389.12</v>
      </c>
      <c r="K68" s="8">
        <v>302.19</v>
      </c>
      <c r="O68" s="14">
        <f t="shared" si="1"/>
        <v>190</v>
      </c>
      <c r="P68" s="14">
        <f t="shared" si="2"/>
        <v>389.12</v>
      </c>
    </row>
    <row r="69">
      <c r="B69" s="6" t="s">
        <v>105</v>
      </c>
      <c r="C69" s="6"/>
      <c r="D69" s="6" t="s">
        <v>31</v>
      </c>
      <c r="E69" s="6" t="s">
        <v>16</v>
      </c>
      <c r="F69" s="6" t="s">
        <v>17</v>
      </c>
      <c r="G69" s="6" t="s">
        <v>18</v>
      </c>
      <c r="H69" s="7">
        <v>44990.0</v>
      </c>
      <c r="I69" s="8">
        <v>179.0</v>
      </c>
      <c r="J69" s="8">
        <v>205.63</v>
      </c>
      <c r="K69" s="8">
        <v>248.56</v>
      </c>
      <c r="O69" s="14">
        <f t="shared" si="1"/>
        <v>179</v>
      </c>
      <c r="P69" s="14">
        <f t="shared" si="2"/>
        <v>205.63</v>
      </c>
    </row>
    <row r="70">
      <c r="B70" s="6" t="s">
        <v>106</v>
      </c>
      <c r="C70" s="6" t="s">
        <v>14</v>
      </c>
      <c r="D70" s="6" t="s">
        <v>63</v>
      </c>
      <c r="E70" s="6" t="s">
        <v>55</v>
      </c>
      <c r="F70" s="6" t="s">
        <v>28</v>
      </c>
      <c r="G70" s="6" t="s">
        <v>33</v>
      </c>
      <c r="H70" s="7">
        <v>44991.0</v>
      </c>
      <c r="I70" s="8">
        <v>365.0</v>
      </c>
      <c r="J70" s="8">
        <v>302.92</v>
      </c>
      <c r="K70" s="8">
        <v>120.35</v>
      </c>
      <c r="O70" s="14">
        <f t="shared" si="1"/>
        <v>365</v>
      </c>
      <c r="P70" s="14">
        <f t="shared" si="2"/>
        <v>302.92</v>
      </c>
    </row>
    <row r="71">
      <c r="B71" s="6" t="s">
        <v>107</v>
      </c>
      <c r="C71" s="6" t="s">
        <v>61</v>
      </c>
      <c r="D71" s="6" t="s">
        <v>21</v>
      </c>
      <c r="E71" s="6" t="s">
        <v>22</v>
      </c>
      <c r="F71" s="6" t="s">
        <v>17</v>
      </c>
      <c r="G71" s="6" t="s">
        <v>33</v>
      </c>
      <c r="H71" s="7">
        <v>44992.0</v>
      </c>
      <c r="I71" s="8">
        <v>200.0</v>
      </c>
      <c r="J71" s="8">
        <v>318.11</v>
      </c>
      <c r="K71" s="8">
        <v>173.27</v>
      </c>
      <c r="O71" s="14">
        <f t="shared" si="1"/>
        <v>200</v>
      </c>
      <c r="P71" s="14">
        <f t="shared" si="2"/>
        <v>318.11</v>
      </c>
    </row>
    <row r="72">
      <c r="B72" s="6" t="s">
        <v>108</v>
      </c>
      <c r="C72" s="6" t="s">
        <v>20</v>
      </c>
      <c r="D72" s="6" t="s">
        <v>15</v>
      </c>
      <c r="E72" s="6" t="s">
        <v>27</v>
      </c>
      <c r="F72" s="6" t="s">
        <v>28</v>
      </c>
      <c r="G72" s="6" t="s">
        <v>23</v>
      </c>
      <c r="H72" s="7">
        <v>44993.0</v>
      </c>
      <c r="I72" s="8">
        <v>164.0</v>
      </c>
      <c r="J72" s="8">
        <v>189.56</v>
      </c>
      <c r="K72" s="8">
        <v>69.92</v>
      </c>
      <c r="O72" s="14">
        <f t="shared" si="1"/>
        <v>164</v>
      </c>
      <c r="P72" s="14">
        <f t="shared" si="2"/>
        <v>189.56</v>
      </c>
    </row>
    <row r="73">
      <c r="B73" s="6" t="s">
        <v>109</v>
      </c>
      <c r="C73" s="6" t="s">
        <v>26</v>
      </c>
      <c r="D73" s="6" t="s">
        <v>21</v>
      </c>
      <c r="E73" s="6" t="s">
        <v>55</v>
      </c>
      <c r="F73" s="6" t="s">
        <v>17</v>
      </c>
      <c r="G73" s="6" t="s">
        <v>18</v>
      </c>
      <c r="H73" s="7">
        <v>44994.0</v>
      </c>
      <c r="I73" s="8">
        <v>431.0</v>
      </c>
      <c r="J73" s="8">
        <v>258.74</v>
      </c>
      <c r="K73" s="8">
        <v>31.7</v>
      </c>
      <c r="O73" s="14">
        <f t="shared" si="1"/>
        <v>431</v>
      </c>
      <c r="P73" s="14">
        <f t="shared" si="2"/>
        <v>258.74</v>
      </c>
    </row>
    <row r="74">
      <c r="B74" s="6" t="s">
        <v>110</v>
      </c>
      <c r="C74" s="6" t="s">
        <v>20</v>
      </c>
      <c r="D74" s="6" t="s">
        <v>63</v>
      </c>
      <c r="E74" s="6" t="s">
        <v>55</v>
      </c>
      <c r="F74" s="6" t="s">
        <v>17</v>
      </c>
      <c r="G74" s="6" t="s">
        <v>33</v>
      </c>
      <c r="H74" s="7">
        <v>44995.0</v>
      </c>
      <c r="I74" s="8">
        <v>197.0</v>
      </c>
      <c r="J74" s="8">
        <v>209.45</v>
      </c>
      <c r="K74" s="8">
        <v>313.51</v>
      </c>
      <c r="O74" s="14">
        <f t="shared" si="1"/>
        <v>197</v>
      </c>
      <c r="P74" s="14">
        <f t="shared" si="2"/>
        <v>209.45</v>
      </c>
    </row>
    <row r="75">
      <c r="B75" s="6" t="s">
        <v>111</v>
      </c>
      <c r="C75" s="6" t="s">
        <v>61</v>
      </c>
      <c r="D75" s="6" t="s">
        <v>15</v>
      </c>
      <c r="E75" s="6" t="s">
        <v>55</v>
      </c>
      <c r="F75" s="6" t="s">
        <v>17</v>
      </c>
      <c r="G75" s="6" t="s">
        <v>33</v>
      </c>
      <c r="H75" s="7">
        <v>44996.0</v>
      </c>
      <c r="I75" s="8">
        <v>16.0</v>
      </c>
      <c r="J75" s="8">
        <v>39.22</v>
      </c>
      <c r="K75" s="8">
        <v>107.62</v>
      </c>
      <c r="O75" s="14">
        <f t="shared" si="1"/>
        <v>16</v>
      </c>
      <c r="P75" s="14">
        <f t="shared" si="2"/>
        <v>39.22</v>
      </c>
    </row>
    <row r="76">
      <c r="B76" s="6" t="s">
        <v>112</v>
      </c>
      <c r="C76" s="6" t="s">
        <v>61</v>
      </c>
      <c r="D76" s="6" t="s">
        <v>63</v>
      </c>
      <c r="E76" s="6" t="s">
        <v>16</v>
      </c>
      <c r="F76" s="6" t="s">
        <v>17</v>
      </c>
      <c r="G76" s="6" t="s">
        <v>18</v>
      </c>
      <c r="H76" s="7">
        <v>44997.0</v>
      </c>
      <c r="I76" s="8">
        <v>142.0</v>
      </c>
      <c r="J76" s="8">
        <v>221.4</v>
      </c>
      <c r="K76" s="8">
        <v>72.75</v>
      </c>
      <c r="O76" s="14">
        <f t="shared" si="1"/>
        <v>142</v>
      </c>
      <c r="P76" s="14">
        <f t="shared" si="2"/>
        <v>221.4</v>
      </c>
    </row>
    <row r="77">
      <c r="B77" s="6" t="s">
        <v>113</v>
      </c>
      <c r="C77" s="6" t="s">
        <v>61</v>
      </c>
      <c r="D77" s="6" t="s">
        <v>39</v>
      </c>
      <c r="E77" s="6" t="s">
        <v>22</v>
      </c>
      <c r="F77" s="6" t="s">
        <v>17</v>
      </c>
      <c r="G77" s="6" t="s">
        <v>23</v>
      </c>
      <c r="H77" s="7">
        <v>44998.0</v>
      </c>
      <c r="I77" s="8">
        <v>244.0</v>
      </c>
      <c r="J77" s="8">
        <v>53.21</v>
      </c>
      <c r="K77" s="8">
        <v>277.26</v>
      </c>
      <c r="O77" s="14">
        <f t="shared" si="1"/>
        <v>244</v>
      </c>
      <c r="P77" s="14">
        <f t="shared" si="2"/>
        <v>53.21</v>
      </c>
    </row>
    <row r="78">
      <c r="B78" s="6" t="s">
        <v>114</v>
      </c>
      <c r="C78" s="6" t="s">
        <v>26</v>
      </c>
      <c r="D78" s="6" t="s">
        <v>15</v>
      </c>
      <c r="E78" s="6" t="s">
        <v>16</v>
      </c>
      <c r="F78" s="6" t="s">
        <v>17</v>
      </c>
      <c r="G78" s="6" t="s">
        <v>18</v>
      </c>
      <c r="H78" s="7">
        <v>44999.0</v>
      </c>
      <c r="I78" s="8">
        <v>54.0</v>
      </c>
      <c r="J78" s="8">
        <v>205.49</v>
      </c>
      <c r="K78" s="8">
        <v>247.98</v>
      </c>
      <c r="O78" s="14">
        <f t="shared" si="1"/>
        <v>54</v>
      </c>
      <c r="P78" s="14">
        <f t="shared" si="2"/>
        <v>205.49</v>
      </c>
    </row>
    <row r="79">
      <c r="B79" s="6" t="s">
        <v>115</v>
      </c>
      <c r="C79" s="6" t="s">
        <v>61</v>
      </c>
      <c r="D79" s="6" t="s">
        <v>39</v>
      </c>
      <c r="E79" s="6" t="s">
        <v>22</v>
      </c>
      <c r="F79" s="6" t="s">
        <v>17</v>
      </c>
      <c r="G79" s="6" t="s">
        <v>23</v>
      </c>
      <c r="H79" s="7">
        <v>45000.0</v>
      </c>
      <c r="I79" s="8">
        <v>323.0</v>
      </c>
      <c r="J79" s="8">
        <v>298.49</v>
      </c>
      <c r="K79" s="8">
        <v>254.01</v>
      </c>
      <c r="O79" s="14">
        <f t="shared" si="1"/>
        <v>323</v>
      </c>
      <c r="P79" s="14">
        <f t="shared" si="2"/>
        <v>298.49</v>
      </c>
    </row>
    <row r="80">
      <c r="B80" s="6" t="s">
        <v>116</v>
      </c>
      <c r="C80" s="6" t="s">
        <v>26</v>
      </c>
      <c r="D80" s="6" t="s">
        <v>21</v>
      </c>
      <c r="E80" s="6" t="s">
        <v>16</v>
      </c>
      <c r="F80" s="6" t="s">
        <v>28</v>
      </c>
      <c r="G80" s="6" t="s">
        <v>33</v>
      </c>
      <c r="H80" s="7">
        <v>45001.0</v>
      </c>
      <c r="I80" s="8">
        <v>258.0</v>
      </c>
      <c r="J80" s="8">
        <v>291.81</v>
      </c>
      <c r="K80" s="8">
        <v>93.1</v>
      </c>
      <c r="O80" s="14">
        <f t="shared" si="1"/>
        <v>258</v>
      </c>
      <c r="P80" s="14">
        <f t="shared" si="2"/>
        <v>291.81</v>
      </c>
    </row>
    <row r="81">
      <c r="B81" s="6" t="s">
        <v>117</v>
      </c>
      <c r="C81" s="6" t="s">
        <v>61</v>
      </c>
      <c r="D81" s="6" t="s">
        <v>21</v>
      </c>
      <c r="E81" s="6" t="s">
        <v>16</v>
      </c>
      <c r="F81" s="6" t="s">
        <v>28</v>
      </c>
      <c r="G81" s="6" t="s">
        <v>23</v>
      </c>
      <c r="H81" s="7">
        <v>45002.0</v>
      </c>
      <c r="I81" s="8">
        <v>40.0</v>
      </c>
      <c r="J81" s="8">
        <v>333.0</v>
      </c>
      <c r="K81" s="8">
        <v>94.59</v>
      </c>
      <c r="O81" s="14">
        <f t="shared" si="1"/>
        <v>40</v>
      </c>
      <c r="P81" s="14">
        <f t="shared" si="2"/>
        <v>333</v>
      </c>
    </row>
    <row r="82">
      <c r="B82" s="6" t="s">
        <v>118</v>
      </c>
      <c r="C82" s="6" t="s">
        <v>20</v>
      </c>
      <c r="D82" s="6" t="s">
        <v>15</v>
      </c>
      <c r="E82" s="6" t="s">
        <v>27</v>
      </c>
      <c r="F82" s="6" t="s">
        <v>28</v>
      </c>
      <c r="G82" s="6" t="s">
        <v>33</v>
      </c>
      <c r="H82" s="7">
        <v>45003.0</v>
      </c>
      <c r="I82" s="8">
        <v>32.0</v>
      </c>
      <c r="J82" s="8">
        <v>52.15</v>
      </c>
      <c r="K82" s="8">
        <v>89.88</v>
      </c>
      <c r="O82" s="14">
        <f t="shared" si="1"/>
        <v>32</v>
      </c>
      <c r="P82" s="14">
        <f t="shared" si="2"/>
        <v>52.15</v>
      </c>
    </row>
    <row r="83">
      <c r="B83" s="6" t="s">
        <v>119</v>
      </c>
      <c r="C83" s="6" t="s">
        <v>20</v>
      </c>
      <c r="D83" s="6" t="s">
        <v>15</v>
      </c>
      <c r="E83" s="6" t="s">
        <v>16</v>
      </c>
      <c r="F83" s="6" t="s">
        <v>28</v>
      </c>
      <c r="G83" s="6" t="s">
        <v>18</v>
      </c>
      <c r="H83" s="7">
        <v>45004.0</v>
      </c>
      <c r="I83" s="8">
        <v>435.0</v>
      </c>
      <c r="J83" s="8">
        <v>327.8</v>
      </c>
      <c r="K83" s="8">
        <v>71.15</v>
      </c>
      <c r="O83" s="14">
        <f t="shared" si="1"/>
        <v>435</v>
      </c>
      <c r="P83" s="14">
        <f t="shared" si="2"/>
        <v>327.8</v>
      </c>
    </row>
    <row r="84">
      <c r="B84" s="6" t="s">
        <v>120</v>
      </c>
      <c r="C84" s="6" t="s">
        <v>14</v>
      </c>
      <c r="D84" s="6" t="s">
        <v>63</v>
      </c>
      <c r="E84" s="6" t="s">
        <v>32</v>
      </c>
      <c r="F84" s="6" t="s">
        <v>28</v>
      </c>
      <c r="G84" s="6" t="s">
        <v>18</v>
      </c>
      <c r="H84" s="7">
        <v>45005.0</v>
      </c>
      <c r="I84" s="8">
        <v>403.0</v>
      </c>
      <c r="J84" s="8">
        <v>159.51</v>
      </c>
      <c r="K84" s="8">
        <v>262.98</v>
      </c>
      <c r="O84" s="14">
        <f t="shared" si="1"/>
        <v>403</v>
      </c>
      <c r="P84" s="14">
        <f t="shared" si="2"/>
        <v>159.51</v>
      </c>
    </row>
    <row r="85">
      <c r="B85" s="6" t="s">
        <v>121</v>
      </c>
      <c r="C85" s="6" t="s">
        <v>20</v>
      </c>
      <c r="D85" s="6" t="s">
        <v>63</v>
      </c>
      <c r="E85" s="6" t="s">
        <v>27</v>
      </c>
      <c r="F85" s="6" t="s">
        <v>17</v>
      </c>
      <c r="G85" s="6" t="s">
        <v>18</v>
      </c>
      <c r="H85" s="7">
        <v>45006.0</v>
      </c>
      <c r="I85" s="8">
        <v>169.0</v>
      </c>
      <c r="J85" s="6"/>
      <c r="K85" s="8">
        <v>339.51</v>
      </c>
      <c r="O85" s="14">
        <f t="shared" si="1"/>
        <v>169</v>
      </c>
      <c r="P85" s="14">
        <f t="shared" si="2"/>
        <v>249.6452059</v>
      </c>
    </row>
    <row r="86">
      <c r="B86" s="6" t="s">
        <v>122</v>
      </c>
      <c r="C86" s="6" t="s">
        <v>14</v>
      </c>
      <c r="D86" s="6" t="s">
        <v>39</v>
      </c>
      <c r="E86" s="6" t="s">
        <v>16</v>
      </c>
      <c r="F86" s="6" t="s">
        <v>17</v>
      </c>
      <c r="G86" s="6" t="s">
        <v>23</v>
      </c>
      <c r="H86" s="7">
        <v>45007.0</v>
      </c>
      <c r="I86" s="8">
        <v>372.0</v>
      </c>
      <c r="J86" s="8">
        <v>429.7</v>
      </c>
      <c r="K86" s="8">
        <v>290.28</v>
      </c>
      <c r="O86" s="14">
        <f t="shared" si="1"/>
        <v>372</v>
      </c>
      <c r="P86" s="14">
        <f t="shared" si="2"/>
        <v>429.7</v>
      </c>
    </row>
    <row r="87">
      <c r="B87" s="6" t="s">
        <v>123</v>
      </c>
      <c r="C87" s="6" t="s">
        <v>20</v>
      </c>
      <c r="D87" s="6" t="s">
        <v>15</v>
      </c>
      <c r="E87" s="6" t="s">
        <v>55</v>
      </c>
      <c r="F87" s="6" t="s">
        <v>28</v>
      </c>
      <c r="G87" s="6" t="s">
        <v>33</v>
      </c>
      <c r="H87" s="7">
        <v>45008.0</v>
      </c>
      <c r="I87" s="8">
        <v>446.0</v>
      </c>
      <c r="J87" s="8">
        <v>9.47</v>
      </c>
      <c r="K87" s="8">
        <v>317.25</v>
      </c>
      <c r="O87" s="14">
        <f t="shared" si="1"/>
        <v>446</v>
      </c>
      <c r="P87" s="14">
        <f t="shared" si="2"/>
        <v>9.47</v>
      </c>
    </row>
    <row r="88">
      <c r="B88" s="6" t="s">
        <v>124</v>
      </c>
      <c r="C88" s="6" t="s">
        <v>26</v>
      </c>
      <c r="D88" s="6" t="s">
        <v>21</v>
      </c>
      <c r="E88" s="6" t="s">
        <v>32</v>
      </c>
      <c r="F88" s="6" t="s">
        <v>17</v>
      </c>
      <c r="G88" s="6" t="s">
        <v>18</v>
      </c>
      <c r="H88" s="7">
        <v>45009.0</v>
      </c>
      <c r="I88" s="8">
        <v>167.0</v>
      </c>
      <c r="J88" s="8">
        <v>296.26</v>
      </c>
      <c r="K88" s="8">
        <v>163.11</v>
      </c>
      <c r="O88" s="14">
        <f t="shared" si="1"/>
        <v>167</v>
      </c>
      <c r="P88" s="14">
        <f t="shared" si="2"/>
        <v>296.26</v>
      </c>
    </row>
    <row r="89">
      <c r="B89" s="6" t="s">
        <v>125</v>
      </c>
      <c r="C89" s="6" t="s">
        <v>20</v>
      </c>
      <c r="D89" s="6" t="s">
        <v>63</v>
      </c>
      <c r="E89" s="6" t="s">
        <v>32</v>
      </c>
      <c r="F89" s="6" t="s">
        <v>28</v>
      </c>
      <c r="G89" s="6" t="s">
        <v>18</v>
      </c>
      <c r="H89" s="7">
        <v>45010.0</v>
      </c>
      <c r="I89" s="8">
        <v>48.0</v>
      </c>
      <c r="J89" s="8">
        <v>301.36</v>
      </c>
      <c r="K89" s="8">
        <v>262.32</v>
      </c>
      <c r="O89" s="14">
        <f t="shared" si="1"/>
        <v>48</v>
      </c>
      <c r="P89" s="14">
        <f t="shared" si="2"/>
        <v>301.36</v>
      </c>
    </row>
    <row r="90">
      <c r="B90" s="6" t="s">
        <v>126</v>
      </c>
      <c r="C90" s="6" t="s">
        <v>14</v>
      </c>
      <c r="D90" s="6" t="s">
        <v>63</v>
      </c>
      <c r="E90" s="6" t="s">
        <v>32</v>
      </c>
      <c r="F90" s="6" t="s">
        <v>28</v>
      </c>
      <c r="G90" s="6" t="s">
        <v>33</v>
      </c>
      <c r="H90" s="7">
        <v>45011.0</v>
      </c>
      <c r="I90" s="8">
        <v>424.0</v>
      </c>
      <c r="J90" s="8">
        <v>201.35</v>
      </c>
      <c r="K90" s="8">
        <v>142.99</v>
      </c>
      <c r="O90" s="14">
        <f t="shared" si="1"/>
        <v>424</v>
      </c>
      <c r="P90" s="14">
        <f t="shared" si="2"/>
        <v>201.35</v>
      </c>
    </row>
    <row r="91">
      <c r="B91" s="6" t="s">
        <v>127</v>
      </c>
      <c r="C91" s="6" t="s">
        <v>14</v>
      </c>
      <c r="D91" s="6" t="s">
        <v>21</v>
      </c>
      <c r="E91" s="6" t="s">
        <v>27</v>
      </c>
      <c r="F91" s="6" t="s">
        <v>17</v>
      </c>
      <c r="G91" s="6" t="s">
        <v>18</v>
      </c>
      <c r="H91" s="7">
        <v>45012.0</v>
      </c>
      <c r="I91" s="8">
        <v>91.0</v>
      </c>
      <c r="J91" s="8">
        <v>122.33</v>
      </c>
      <c r="K91" s="8">
        <v>211.15</v>
      </c>
      <c r="O91" s="14">
        <f t="shared" si="1"/>
        <v>91</v>
      </c>
      <c r="P91" s="14">
        <f t="shared" si="2"/>
        <v>122.33</v>
      </c>
    </row>
    <row r="92">
      <c r="B92" s="6" t="s">
        <v>128</v>
      </c>
      <c r="C92" s="6" t="s">
        <v>61</v>
      </c>
      <c r="D92" s="6" t="s">
        <v>63</v>
      </c>
      <c r="E92" s="6" t="s">
        <v>16</v>
      </c>
      <c r="F92" s="6" t="s">
        <v>17</v>
      </c>
      <c r="G92" s="6" t="s">
        <v>33</v>
      </c>
      <c r="H92" s="7">
        <v>45013.0</v>
      </c>
      <c r="I92" s="8">
        <v>365.0</v>
      </c>
      <c r="J92" s="8">
        <v>121.16</v>
      </c>
      <c r="K92" s="8">
        <v>193.69</v>
      </c>
      <c r="O92" s="14">
        <f t="shared" si="1"/>
        <v>365</v>
      </c>
      <c r="P92" s="14">
        <f t="shared" si="2"/>
        <v>121.16</v>
      </c>
    </row>
    <row r="93">
      <c r="B93" s="6" t="s">
        <v>129</v>
      </c>
      <c r="C93" s="6" t="s">
        <v>26</v>
      </c>
      <c r="D93" s="6" t="s">
        <v>39</v>
      </c>
      <c r="E93" s="6" t="s">
        <v>16</v>
      </c>
      <c r="F93" s="6" t="s">
        <v>17</v>
      </c>
      <c r="G93" s="6" t="s">
        <v>33</v>
      </c>
      <c r="H93" s="7">
        <v>45014.0</v>
      </c>
      <c r="I93" s="8">
        <v>267.0</v>
      </c>
      <c r="J93" s="8">
        <v>442.44</v>
      </c>
      <c r="K93" s="8">
        <v>72.4</v>
      </c>
      <c r="O93" s="14">
        <f t="shared" si="1"/>
        <v>267</v>
      </c>
      <c r="P93" s="14">
        <f t="shared" si="2"/>
        <v>442.44</v>
      </c>
    </row>
    <row r="94">
      <c r="B94" s="6" t="s">
        <v>130</v>
      </c>
      <c r="C94" s="6" t="s">
        <v>20</v>
      </c>
      <c r="D94" s="6" t="s">
        <v>15</v>
      </c>
      <c r="E94" s="6" t="s">
        <v>55</v>
      </c>
      <c r="F94" s="6" t="s">
        <v>28</v>
      </c>
      <c r="G94" s="6" t="s">
        <v>33</v>
      </c>
      <c r="H94" s="7">
        <v>45015.0</v>
      </c>
      <c r="I94" s="8">
        <v>215.0</v>
      </c>
      <c r="J94" s="8">
        <v>223.8</v>
      </c>
      <c r="K94" s="8">
        <v>156.06</v>
      </c>
      <c r="O94" s="14">
        <f t="shared" si="1"/>
        <v>215</v>
      </c>
      <c r="P94" s="14">
        <f t="shared" si="2"/>
        <v>223.8</v>
      </c>
    </row>
    <row r="95">
      <c r="B95" s="6" t="s">
        <v>131</v>
      </c>
      <c r="C95" s="6" t="s">
        <v>61</v>
      </c>
      <c r="D95" s="6" t="s">
        <v>21</v>
      </c>
      <c r="E95" s="6" t="s">
        <v>55</v>
      </c>
      <c r="F95" s="6" t="s">
        <v>17</v>
      </c>
      <c r="G95" s="6" t="s">
        <v>33</v>
      </c>
      <c r="H95" s="7">
        <v>45016.0</v>
      </c>
      <c r="I95" s="8">
        <v>86.0</v>
      </c>
      <c r="J95" s="8">
        <v>168.79</v>
      </c>
      <c r="K95" s="8">
        <v>385.6</v>
      </c>
      <c r="O95" s="14">
        <f t="shared" si="1"/>
        <v>86</v>
      </c>
      <c r="P95" s="14">
        <f t="shared" si="2"/>
        <v>168.79</v>
      </c>
    </row>
    <row r="96">
      <c r="B96" s="6" t="s">
        <v>132</v>
      </c>
      <c r="C96" s="6" t="s">
        <v>20</v>
      </c>
      <c r="D96" s="6" t="s">
        <v>15</v>
      </c>
      <c r="E96" s="6" t="s">
        <v>32</v>
      </c>
      <c r="F96" s="6" t="s">
        <v>28</v>
      </c>
      <c r="G96" s="6" t="s">
        <v>33</v>
      </c>
      <c r="H96" s="7">
        <v>45017.0</v>
      </c>
      <c r="I96" s="8">
        <v>486.0</v>
      </c>
      <c r="J96" s="8">
        <v>227.14</v>
      </c>
      <c r="K96" s="8">
        <v>100.93</v>
      </c>
      <c r="O96" s="14">
        <f t="shared" si="1"/>
        <v>486</v>
      </c>
      <c r="P96" s="14">
        <f t="shared" si="2"/>
        <v>227.14</v>
      </c>
    </row>
    <row r="97">
      <c r="B97" s="6" t="s">
        <v>133</v>
      </c>
      <c r="C97" s="6" t="s">
        <v>20</v>
      </c>
      <c r="D97" s="6" t="s">
        <v>63</v>
      </c>
      <c r="E97" s="6" t="s">
        <v>55</v>
      </c>
      <c r="F97" s="6" t="s">
        <v>28</v>
      </c>
      <c r="G97" s="6" t="s">
        <v>23</v>
      </c>
      <c r="H97" s="7">
        <v>45018.0</v>
      </c>
      <c r="I97" s="8">
        <v>21.0</v>
      </c>
      <c r="J97" s="6"/>
      <c r="K97" s="8">
        <v>55.25</v>
      </c>
      <c r="O97" s="14">
        <f t="shared" si="1"/>
        <v>21</v>
      </c>
      <c r="P97" s="14">
        <f t="shared" si="2"/>
        <v>249.6452059</v>
      </c>
    </row>
    <row r="98">
      <c r="B98" s="6" t="s">
        <v>134</v>
      </c>
      <c r="C98" s="6" t="s">
        <v>61</v>
      </c>
      <c r="D98" s="6" t="s">
        <v>63</v>
      </c>
      <c r="E98" s="6" t="s">
        <v>27</v>
      </c>
      <c r="F98" s="6" t="s">
        <v>28</v>
      </c>
      <c r="G98" s="6" t="s">
        <v>18</v>
      </c>
      <c r="H98" s="7">
        <v>45019.0</v>
      </c>
      <c r="I98" s="8">
        <v>304.0</v>
      </c>
      <c r="J98" s="8">
        <v>77.15</v>
      </c>
      <c r="K98" s="8">
        <v>168.6</v>
      </c>
      <c r="O98" s="14">
        <f t="shared" si="1"/>
        <v>304</v>
      </c>
      <c r="P98" s="14">
        <f t="shared" si="2"/>
        <v>77.15</v>
      </c>
    </row>
    <row r="99">
      <c r="B99" s="6" t="s">
        <v>135</v>
      </c>
      <c r="C99" s="6" t="s">
        <v>61</v>
      </c>
      <c r="D99" s="6" t="s">
        <v>21</v>
      </c>
      <c r="E99" s="6" t="s">
        <v>16</v>
      </c>
      <c r="F99" s="6" t="s">
        <v>17</v>
      </c>
      <c r="G99" s="6" t="s">
        <v>23</v>
      </c>
      <c r="H99" s="7">
        <v>45020.0</v>
      </c>
      <c r="I99" s="8">
        <v>459.0</v>
      </c>
      <c r="J99" s="8">
        <v>227.47</v>
      </c>
      <c r="K99" s="8">
        <v>316.55</v>
      </c>
      <c r="O99" s="14">
        <f t="shared" si="1"/>
        <v>459</v>
      </c>
      <c r="P99" s="14">
        <f t="shared" si="2"/>
        <v>227.47</v>
      </c>
    </row>
    <row r="100">
      <c r="B100" s="6" t="s">
        <v>136</v>
      </c>
      <c r="C100" s="6" t="s">
        <v>61</v>
      </c>
      <c r="D100" s="6" t="s">
        <v>39</v>
      </c>
      <c r="E100" s="6" t="s">
        <v>32</v>
      </c>
      <c r="F100" s="6" t="s">
        <v>17</v>
      </c>
      <c r="G100" s="6" t="s">
        <v>18</v>
      </c>
      <c r="H100" s="7">
        <v>45021.0</v>
      </c>
      <c r="I100" s="8">
        <v>233.0</v>
      </c>
      <c r="J100" s="8">
        <v>296.0</v>
      </c>
      <c r="K100" s="8">
        <v>233.69</v>
      </c>
      <c r="O100" s="14">
        <f t="shared" si="1"/>
        <v>233</v>
      </c>
      <c r="P100" s="14">
        <f t="shared" si="2"/>
        <v>296</v>
      </c>
    </row>
    <row r="101">
      <c r="B101" s="6" t="s">
        <v>137</v>
      </c>
      <c r="C101" s="6" t="s">
        <v>61</v>
      </c>
      <c r="D101" s="6" t="s">
        <v>31</v>
      </c>
      <c r="E101" s="6" t="s">
        <v>55</v>
      </c>
      <c r="F101" s="6" t="s">
        <v>28</v>
      </c>
      <c r="G101" s="6" t="s">
        <v>23</v>
      </c>
      <c r="H101" s="7">
        <v>45022.0</v>
      </c>
      <c r="I101" s="8">
        <v>22.0</v>
      </c>
      <c r="J101" s="8">
        <v>474.55</v>
      </c>
      <c r="K101" s="8">
        <v>273.03</v>
      </c>
      <c r="O101" s="14">
        <f t="shared" si="1"/>
        <v>22</v>
      </c>
      <c r="P101" s="14">
        <f t="shared" si="2"/>
        <v>474.55</v>
      </c>
    </row>
    <row r="102">
      <c r="B102" s="6" t="s">
        <v>138</v>
      </c>
      <c r="C102" s="6" t="s">
        <v>61</v>
      </c>
      <c r="D102" s="6" t="s">
        <v>21</v>
      </c>
      <c r="E102" s="6" t="s">
        <v>27</v>
      </c>
      <c r="F102" s="6" t="s">
        <v>17</v>
      </c>
      <c r="G102" s="6" t="s">
        <v>33</v>
      </c>
      <c r="H102" s="7">
        <v>45023.0</v>
      </c>
      <c r="I102" s="8">
        <v>55.0</v>
      </c>
      <c r="J102" s="8">
        <v>130.0</v>
      </c>
      <c r="K102" s="8">
        <v>77.5</v>
      </c>
      <c r="O102" s="14">
        <f t="shared" si="1"/>
        <v>55</v>
      </c>
      <c r="P102" s="14">
        <f t="shared" si="2"/>
        <v>130</v>
      </c>
    </row>
    <row r="103">
      <c r="B103" s="6" t="s">
        <v>139</v>
      </c>
      <c r="C103" s="6" t="s">
        <v>20</v>
      </c>
      <c r="D103" s="6" t="s">
        <v>31</v>
      </c>
      <c r="E103" s="6" t="s">
        <v>27</v>
      </c>
      <c r="F103" s="6" t="s">
        <v>17</v>
      </c>
      <c r="G103" s="6" t="s">
        <v>18</v>
      </c>
      <c r="H103" s="7">
        <v>45024.0</v>
      </c>
      <c r="I103" s="8">
        <v>164.0</v>
      </c>
      <c r="J103" s="8">
        <v>182.83</v>
      </c>
      <c r="K103" s="8">
        <v>248.34</v>
      </c>
      <c r="O103" s="14">
        <f t="shared" si="1"/>
        <v>164</v>
      </c>
      <c r="P103" s="14">
        <f t="shared" si="2"/>
        <v>182.83</v>
      </c>
    </row>
    <row r="104">
      <c r="B104" s="6" t="s">
        <v>140</v>
      </c>
      <c r="C104" s="6" t="s">
        <v>61</v>
      </c>
      <c r="D104" s="6" t="s">
        <v>31</v>
      </c>
      <c r="E104" s="6" t="s">
        <v>55</v>
      </c>
      <c r="F104" s="6" t="s">
        <v>17</v>
      </c>
      <c r="G104" s="6" t="s">
        <v>18</v>
      </c>
      <c r="H104" s="7">
        <v>45025.0</v>
      </c>
      <c r="I104" s="8">
        <v>122.0</v>
      </c>
      <c r="J104" s="8">
        <v>192.78</v>
      </c>
      <c r="K104" s="8">
        <v>130.75</v>
      </c>
      <c r="O104" s="14">
        <f t="shared" si="1"/>
        <v>122</v>
      </c>
      <c r="P104" s="14">
        <f t="shared" si="2"/>
        <v>192.78</v>
      </c>
    </row>
    <row r="105">
      <c r="B105" s="6" t="s">
        <v>141</v>
      </c>
      <c r="C105" s="6" t="s">
        <v>26</v>
      </c>
      <c r="D105" s="6" t="s">
        <v>39</v>
      </c>
      <c r="E105" s="6" t="s">
        <v>16</v>
      </c>
      <c r="F105" s="6" t="s">
        <v>28</v>
      </c>
      <c r="G105" s="6" t="s">
        <v>23</v>
      </c>
      <c r="H105" s="7">
        <v>45026.0</v>
      </c>
      <c r="I105" s="8">
        <v>242.0</v>
      </c>
      <c r="J105" s="8">
        <v>304.74</v>
      </c>
      <c r="K105" s="8">
        <v>334.05</v>
      </c>
      <c r="O105" s="14">
        <f t="shared" si="1"/>
        <v>242</v>
      </c>
      <c r="P105" s="14">
        <f t="shared" si="2"/>
        <v>304.74</v>
      </c>
    </row>
    <row r="106">
      <c r="B106" s="6" t="s">
        <v>142</v>
      </c>
      <c r="C106" s="6" t="s">
        <v>14</v>
      </c>
      <c r="D106" s="6" t="s">
        <v>31</v>
      </c>
      <c r="E106" s="6" t="s">
        <v>55</v>
      </c>
      <c r="F106" s="6" t="s">
        <v>28</v>
      </c>
      <c r="G106" s="6" t="s">
        <v>23</v>
      </c>
      <c r="H106" s="7">
        <v>45027.0</v>
      </c>
      <c r="I106" s="8">
        <v>26.0</v>
      </c>
      <c r="J106" s="8">
        <v>181.58</v>
      </c>
      <c r="K106" s="8">
        <v>252.46</v>
      </c>
      <c r="O106" s="14">
        <f t="shared" si="1"/>
        <v>26</v>
      </c>
      <c r="P106" s="14">
        <f t="shared" si="2"/>
        <v>181.58</v>
      </c>
    </row>
    <row r="107">
      <c r="B107" s="6" t="s">
        <v>143</v>
      </c>
      <c r="C107" s="6" t="s">
        <v>61</v>
      </c>
      <c r="D107" s="6" t="s">
        <v>31</v>
      </c>
      <c r="E107" s="6" t="s">
        <v>32</v>
      </c>
      <c r="F107" s="6" t="s">
        <v>17</v>
      </c>
      <c r="G107" s="6" t="s">
        <v>18</v>
      </c>
      <c r="H107" s="7">
        <v>45028.0</v>
      </c>
      <c r="I107" s="8">
        <v>369.0</v>
      </c>
      <c r="J107" s="8">
        <v>269.09</v>
      </c>
      <c r="K107" s="8">
        <v>81.14</v>
      </c>
      <c r="O107" s="14">
        <f t="shared" si="1"/>
        <v>369</v>
      </c>
      <c r="P107" s="14">
        <f t="shared" si="2"/>
        <v>269.09</v>
      </c>
    </row>
    <row r="108">
      <c r="B108" s="6" t="s">
        <v>144</v>
      </c>
      <c r="C108" s="6" t="s">
        <v>61</v>
      </c>
      <c r="D108" s="6" t="s">
        <v>39</v>
      </c>
      <c r="E108" s="6" t="s">
        <v>55</v>
      </c>
      <c r="F108" s="6" t="s">
        <v>28</v>
      </c>
      <c r="G108" s="6" t="s">
        <v>23</v>
      </c>
      <c r="H108" s="7">
        <v>45029.0</v>
      </c>
      <c r="I108" s="8">
        <v>232.0</v>
      </c>
      <c r="J108" s="8">
        <v>391.99</v>
      </c>
      <c r="K108" s="8">
        <v>27.72</v>
      </c>
      <c r="O108" s="14">
        <f t="shared" si="1"/>
        <v>232</v>
      </c>
      <c r="P108" s="14">
        <f t="shared" si="2"/>
        <v>391.99</v>
      </c>
    </row>
    <row r="109">
      <c r="B109" s="6" t="s">
        <v>145</v>
      </c>
      <c r="C109" s="6" t="s">
        <v>20</v>
      </c>
      <c r="D109" s="6" t="s">
        <v>31</v>
      </c>
      <c r="E109" s="6" t="s">
        <v>27</v>
      </c>
      <c r="F109" s="6" t="s">
        <v>17</v>
      </c>
      <c r="G109" s="6" t="s">
        <v>23</v>
      </c>
      <c r="H109" s="7">
        <v>45030.0</v>
      </c>
      <c r="I109" s="8">
        <v>363.0</v>
      </c>
      <c r="J109" s="8">
        <v>354.17</v>
      </c>
      <c r="K109" s="8">
        <v>18.97</v>
      </c>
      <c r="O109" s="14">
        <f t="shared" si="1"/>
        <v>363</v>
      </c>
      <c r="P109" s="14">
        <f t="shared" si="2"/>
        <v>354.17</v>
      </c>
    </row>
    <row r="110">
      <c r="B110" s="6" t="s">
        <v>146</v>
      </c>
      <c r="C110" s="6" t="s">
        <v>61</v>
      </c>
      <c r="D110" s="6" t="s">
        <v>31</v>
      </c>
      <c r="E110" s="6" t="s">
        <v>55</v>
      </c>
      <c r="F110" s="6" t="s">
        <v>17</v>
      </c>
      <c r="G110" s="6" t="s">
        <v>23</v>
      </c>
      <c r="H110" s="7">
        <v>45031.0</v>
      </c>
      <c r="I110" s="8">
        <v>197.0</v>
      </c>
      <c r="J110" s="8">
        <v>225.95</v>
      </c>
      <c r="K110" s="8">
        <v>149.82</v>
      </c>
      <c r="O110" s="14">
        <f t="shared" si="1"/>
        <v>197</v>
      </c>
      <c r="P110" s="14">
        <f t="shared" si="2"/>
        <v>225.95</v>
      </c>
    </row>
    <row r="111">
      <c r="B111" s="6" t="s">
        <v>147</v>
      </c>
      <c r="C111" s="6" t="s">
        <v>61</v>
      </c>
      <c r="D111" s="6" t="s">
        <v>31</v>
      </c>
      <c r="E111" s="6" t="s">
        <v>16</v>
      </c>
      <c r="F111" s="6" t="s">
        <v>17</v>
      </c>
      <c r="G111" s="6" t="s">
        <v>33</v>
      </c>
      <c r="H111" s="7">
        <v>45032.0</v>
      </c>
      <c r="I111" s="8">
        <v>457.0</v>
      </c>
      <c r="J111" s="8">
        <v>432.79</v>
      </c>
      <c r="K111" s="8">
        <v>107.81</v>
      </c>
      <c r="O111" s="14">
        <f t="shared" si="1"/>
        <v>457</v>
      </c>
      <c r="P111" s="14">
        <f t="shared" si="2"/>
        <v>432.79</v>
      </c>
    </row>
    <row r="112">
      <c r="B112" s="6" t="s">
        <v>148</v>
      </c>
      <c r="C112" s="6" t="s">
        <v>61</v>
      </c>
      <c r="D112" s="6" t="s">
        <v>21</v>
      </c>
      <c r="E112" s="6" t="s">
        <v>22</v>
      </c>
      <c r="F112" s="6" t="s">
        <v>17</v>
      </c>
      <c r="G112" s="6" t="s">
        <v>33</v>
      </c>
      <c r="H112" s="7">
        <v>45033.0</v>
      </c>
      <c r="I112" s="8">
        <v>353.0</v>
      </c>
      <c r="J112" s="8">
        <v>281.28</v>
      </c>
      <c r="K112" s="8">
        <v>259.14</v>
      </c>
      <c r="O112" s="14">
        <f t="shared" si="1"/>
        <v>353</v>
      </c>
      <c r="P112" s="14">
        <f t="shared" si="2"/>
        <v>281.28</v>
      </c>
    </row>
    <row r="113">
      <c r="B113" s="6" t="s">
        <v>149</v>
      </c>
      <c r="C113" s="6" t="s">
        <v>20</v>
      </c>
      <c r="D113" s="6" t="s">
        <v>21</v>
      </c>
      <c r="E113" s="6" t="s">
        <v>55</v>
      </c>
      <c r="F113" s="6" t="s">
        <v>28</v>
      </c>
      <c r="G113" s="6" t="s">
        <v>23</v>
      </c>
      <c r="H113" s="7">
        <v>45034.0</v>
      </c>
      <c r="I113" s="8">
        <v>374.0</v>
      </c>
      <c r="J113" s="8">
        <v>272.25</v>
      </c>
      <c r="K113" s="8">
        <v>200.73</v>
      </c>
      <c r="O113" s="14">
        <f t="shared" si="1"/>
        <v>374</v>
      </c>
      <c r="P113" s="14">
        <f t="shared" si="2"/>
        <v>272.25</v>
      </c>
    </row>
    <row r="114">
      <c r="B114" s="6" t="s">
        <v>150</v>
      </c>
      <c r="C114" s="6" t="s">
        <v>61</v>
      </c>
      <c r="D114" s="6" t="s">
        <v>21</v>
      </c>
      <c r="E114" s="6" t="s">
        <v>16</v>
      </c>
      <c r="F114" s="6" t="s">
        <v>28</v>
      </c>
      <c r="G114" s="6" t="s">
        <v>23</v>
      </c>
      <c r="H114" s="7">
        <v>45035.0</v>
      </c>
      <c r="I114" s="8">
        <v>172.0</v>
      </c>
      <c r="J114" s="8">
        <v>21.92</v>
      </c>
      <c r="K114" s="8">
        <v>107.88</v>
      </c>
      <c r="O114" s="14">
        <f t="shared" si="1"/>
        <v>172</v>
      </c>
      <c r="P114" s="14">
        <f t="shared" si="2"/>
        <v>21.92</v>
      </c>
    </row>
    <row r="115">
      <c r="B115" s="6" t="s">
        <v>151</v>
      </c>
      <c r="C115" s="6" t="s">
        <v>14</v>
      </c>
      <c r="D115" s="6" t="s">
        <v>39</v>
      </c>
      <c r="E115" s="6" t="s">
        <v>16</v>
      </c>
      <c r="F115" s="6" t="s">
        <v>28</v>
      </c>
      <c r="G115" s="6" t="s">
        <v>33</v>
      </c>
      <c r="H115" s="7">
        <v>45036.0</v>
      </c>
      <c r="I115" s="8">
        <v>335.0</v>
      </c>
      <c r="J115" s="8">
        <v>493.41</v>
      </c>
      <c r="K115" s="8">
        <v>61.4</v>
      </c>
      <c r="O115" s="14">
        <f t="shared" si="1"/>
        <v>335</v>
      </c>
      <c r="P115" s="14">
        <f t="shared" si="2"/>
        <v>493.41</v>
      </c>
    </row>
    <row r="116">
      <c r="B116" s="6" t="s">
        <v>152</v>
      </c>
      <c r="C116" s="6" t="s">
        <v>20</v>
      </c>
      <c r="D116" s="6" t="s">
        <v>63</v>
      </c>
      <c r="E116" s="6" t="s">
        <v>27</v>
      </c>
      <c r="F116" s="6" t="s">
        <v>17</v>
      </c>
      <c r="G116" s="6" t="s">
        <v>33</v>
      </c>
      <c r="H116" s="7">
        <v>45037.0</v>
      </c>
      <c r="I116" s="8">
        <v>476.0</v>
      </c>
      <c r="J116" s="8">
        <v>65.87</v>
      </c>
      <c r="K116" s="8">
        <v>52.63</v>
      </c>
      <c r="O116" s="14">
        <f t="shared" si="1"/>
        <v>476</v>
      </c>
      <c r="P116" s="14">
        <f t="shared" si="2"/>
        <v>65.87</v>
      </c>
    </row>
    <row r="117">
      <c r="B117" s="6" t="s">
        <v>153</v>
      </c>
      <c r="C117" s="6" t="s">
        <v>14</v>
      </c>
      <c r="D117" s="6" t="s">
        <v>31</v>
      </c>
      <c r="E117" s="6" t="s">
        <v>16</v>
      </c>
      <c r="F117" s="6" t="s">
        <v>17</v>
      </c>
      <c r="G117" s="6" t="s">
        <v>18</v>
      </c>
      <c r="H117" s="7">
        <v>45038.0</v>
      </c>
      <c r="I117" s="8">
        <v>423.0</v>
      </c>
      <c r="J117" s="8">
        <v>119.41</v>
      </c>
      <c r="K117" s="8">
        <v>346.13</v>
      </c>
      <c r="O117" s="14">
        <f t="shared" si="1"/>
        <v>423</v>
      </c>
      <c r="P117" s="14">
        <f t="shared" si="2"/>
        <v>119.41</v>
      </c>
    </row>
    <row r="118">
      <c r="B118" s="6" t="s">
        <v>154</v>
      </c>
      <c r="C118" s="6" t="s">
        <v>20</v>
      </c>
      <c r="D118" s="6" t="s">
        <v>31</v>
      </c>
      <c r="E118" s="6" t="s">
        <v>16</v>
      </c>
      <c r="F118" s="6" t="s">
        <v>17</v>
      </c>
      <c r="G118" s="6" t="s">
        <v>18</v>
      </c>
      <c r="H118" s="7">
        <v>45039.0</v>
      </c>
      <c r="I118" s="8">
        <v>464.0</v>
      </c>
      <c r="J118" s="8">
        <v>30.59</v>
      </c>
      <c r="K118" s="8">
        <v>98.9</v>
      </c>
      <c r="O118" s="14">
        <f t="shared" si="1"/>
        <v>464</v>
      </c>
      <c r="P118" s="14">
        <f t="shared" si="2"/>
        <v>30.59</v>
      </c>
    </row>
    <row r="119">
      <c r="B119" s="6" t="s">
        <v>155</v>
      </c>
      <c r="C119" s="6" t="s">
        <v>61</v>
      </c>
      <c r="D119" s="6" t="s">
        <v>39</v>
      </c>
      <c r="E119" s="6" t="s">
        <v>16</v>
      </c>
      <c r="F119" s="6" t="s">
        <v>28</v>
      </c>
      <c r="G119" s="6" t="s">
        <v>33</v>
      </c>
      <c r="H119" s="7">
        <v>45040.0</v>
      </c>
      <c r="I119" s="8">
        <v>83.0</v>
      </c>
      <c r="J119" s="8">
        <v>321.8</v>
      </c>
      <c r="K119" s="8">
        <v>261.38</v>
      </c>
      <c r="O119" s="14">
        <f t="shared" si="1"/>
        <v>83</v>
      </c>
      <c r="P119" s="14">
        <f t="shared" si="2"/>
        <v>321.8</v>
      </c>
    </row>
    <row r="120">
      <c r="B120" s="6" t="s">
        <v>156</v>
      </c>
      <c r="C120" s="6" t="s">
        <v>14</v>
      </c>
      <c r="D120" s="6" t="s">
        <v>31</v>
      </c>
      <c r="E120" s="6" t="s">
        <v>16</v>
      </c>
      <c r="F120" s="6" t="s">
        <v>17</v>
      </c>
      <c r="G120" s="6" t="s">
        <v>23</v>
      </c>
      <c r="H120" s="7">
        <v>45041.0</v>
      </c>
      <c r="I120" s="8">
        <v>242.0</v>
      </c>
      <c r="J120" s="8">
        <v>116.23</v>
      </c>
      <c r="K120" s="8">
        <v>324.65</v>
      </c>
      <c r="O120" s="14">
        <f t="shared" si="1"/>
        <v>242</v>
      </c>
      <c r="P120" s="14">
        <f t="shared" si="2"/>
        <v>116.23</v>
      </c>
    </row>
    <row r="121">
      <c r="B121" s="6" t="s">
        <v>157</v>
      </c>
      <c r="C121" s="6" t="s">
        <v>20</v>
      </c>
      <c r="D121" s="6" t="s">
        <v>21</v>
      </c>
      <c r="E121" s="6" t="s">
        <v>32</v>
      </c>
      <c r="F121" s="6" t="s">
        <v>28</v>
      </c>
      <c r="G121" s="6" t="s">
        <v>23</v>
      </c>
      <c r="H121" s="7">
        <v>45042.0</v>
      </c>
      <c r="I121" s="8">
        <v>233.0</v>
      </c>
      <c r="J121" s="8">
        <v>94.11</v>
      </c>
      <c r="K121" s="8">
        <v>246.4</v>
      </c>
      <c r="O121" s="14">
        <f t="shared" si="1"/>
        <v>233</v>
      </c>
      <c r="P121" s="14">
        <f t="shared" si="2"/>
        <v>94.11</v>
      </c>
    </row>
    <row r="122">
      <c r="B122" s="6" t="s">
        <v>158</v>
      </c>
      <c r="C122" s="6" t="s">
        <v>26</v>
      </c>
      <c r="D122" s="6" t="s">
        <v>63</v>
      </c>
      <c r="E122" s="6" t="s">
        <v>32</v>
      </c>
      <c r="F122" s="6" t="s">
        <v>28</v>
      </c>
      <c r="G122" s="6" t="s">
        <v>23</v>
      </c>
      <c r="H122" s="7">
        <v>45043.0</v>
      </c>
      <c r="I122" s="8">
        <v>491.0</v>
      </c>
      <c r="J122" s="8">
        <v>48.84</v>
      </c>
      <c r="K122" s="8">
        <v>344.11</v>
      </c>
      <c r="O122" s="14">
        <f t="shared" si="1"/>
        <v>491</v>
      </c>
      <c r="P122" s="14">
        <f t="shared" si="2"/>
        <v>48.84</v>
      </c>
    </row>
    <row r="123">
      <c r="B123" s="6" t="s">
        <v>159</v>
      </c>
      <c r="C123" s="6"/>
      <c r="D123" s="6" t="s">
        <v>15</v>
      </c>
      <c r="E123" s="6" t="s">
        <v>27</v>
      </c>
      <c r="F123" s="6" t="s">
        <v>28</v>
      </c>
      <c r="G123" s="6" t="s">
        <v>23</v>
      </c>
      <c r="H123" s="7">
        <v>45044.0</v>
      </c>
      <c r="I123" s="8">
        <v>328.0</v>
      </c>
      <c r="J123" s="8">
        <v>56.14</v>
      </c>
      <c r="K123" s="8">
        <v>158.17</v>
      </c>
      <c r="O123" s="14">
        <f t="shared" si="1"/>
        <v>328</v>
      </c>
      <c r="P123" s="14">
        <f t="shared" si="2"/>
        <v>56.14</v>
      </c>
    </row>
    <row r="124">
      <c r="B124" s="6" t="s">
        <v>160</v>
      </c>
      <c r="C124" s="6" t="s">
        <v>20</v>
      </c>
      <c r="D124" s="6" t="s">
        <v>31</v>
      </c>
      <c r="E124" s="6" t="s">
        <v>55</v>
      </c>
      <c r="F124" s="6" t="s">
        <v>28</v>
      </c>
      <c r="G124" s="6" t="s">
        <v>18</v>
      </c>
      <c r="H124" s="7">
        <v>45045.0</v>
      </c>
      <c r="I124" s="8">
        <v>421.0</v>
      </c>
      <c r="J124" s="8">
        <v>294.41</v>
      </c>
      <c r="K124" s="8">
        <v>382.58</v>
      </c>
      <c r="O124" s="14">
        <f t="shared" si="1"/>
        <v>421</v>
      </c>
      <c r="P124" s="14">
        <f t="shared" si="2"/>
        <v>294.41</v>
      </c>
    </row>
    <row r="125">
      <c r="B125" s="6" t="s">
        <v>161</v>
      </c>
      <c r="C125" s="6" t="s">
        <v>26</v>
      </c>
      <c r="D125" s="6" t="s">
        <v>21</v>
      </c>
      <c r="E125" s="6" t="s">
        <v>16</v>
      </c>
      <c r="F125" s="6" t="s">
        <v>28</v>
      </c>
      <c r="G125" s="6" t="s">
        <v>33</v>
      </c>
      <c r="H125" s="7">
        <v>45046.0</v>
      </c>
      <c r="I125" s="8">
        <v>69.0</v>
      </c>
      <c r="J125" s="8">
        <v>345.66</v>
      </c>
      <c r="K125" s="8">
        <v>54.99</v>
      </c>
      <c r="O125" s="14">
        <f t="shared" si="1"/>
        <v>69</v>
      </c>
      <c r="P125" s="14">
        <f t="shared" si="2"/>
        <v>345.66</v>
      </c>
    </row>
    <row r="126">
      <c r="B126" s="6" t="s">
        <v>162</v>
      </c>
      <c r="C126" s="6" t="s">
        <v>20</v>
      </c>
      <c r="D126" s="6" t="s">
        <v>15</v>
      </c>
      <c r="E126" s="6" t="s">
        <v>55</v>
      </c>
      <c r="F126" s="6" t="s">
        <v>28</v>
      </c>
      <c r="G126" s="6" t="s">
        <v>23</v>
      </c>
      <c r="H126" s="7">
        <v>45047.0</v>
      </c>
      <c r="I126" s="8">
        <v>344.0</v>
      </c>
      <c r="J126" s="8">
        <v>201.7</v>
      </c>
      <c r="K126" s="8">
        <v>42.66</v>
      </c>
      <c r="O126" s="14">
        <f t="shared" si="1"/>
        <v>344</v>
      </c>
      <c r="P126" s="14">
        <f t="shared" si="2"/>
        <v>201.7</v>
      </c>
    </row>
    <row r="127">
      <c r="B127" s="6" t="s">
        <v>163</v>
      </c>
      <c r="C127" s="6"/>
      <c r="D127" s="6" t="s">
        <v>63</v>
      </c>
      <c r="E127" s="6" t="s">
        <v>55</v>
      </c>
      <c r="F127" s="6" t="s">
        <v>17</v>
      </c>
      <c r="G127" s="6" t="s">
        <v>18</v>
      </c>
      <c r="H127" s="7">
        <v>45048.0</v>
      </c>
      <c r="I127" s="8">
        <v>231.0</v>
      </c>
      <c r="J127" s="8">
        <v>242.55</v>
      </c>
      <c r="K127" s="8">
        <v>264.16</v>
      </c>
      <c r="O127" s="14">
        <f t="shared" si="1"/>
        <v>231</v>
      </c>
      <c r="P127" s="14">
        <f t="shared" si="2"/>
        <v>242.55</v>
      </c>
    </row>
    <row r="128">
      <c r="B128" s="6" t="s">
        <v>164</v>
      </c>
      <c r="C128" s="6" t="s">
        <v>61</v>
      </c>
      <c r="D128" s="6" t="s">
        <v>15</v>
      </c>
      <c r="E128" s="6" t="s">
        <v>27</v>
      </c>
      <c r="F128" s="6" t="s">
        <v>17</v>
      </c>
      <c r="G128" s="6" t="s">
        <v>23</v>
      </c>
      <c r="H128" s="7">
        <v>45049.0</v>
      </c>
      <c r="I128" s="8">
        <v>46.0</v>
      </c>
      <c r="J128" s="8">
        <v>344.55</v>
      </c>
      <c r="K128" s="8">
        <v>377.25</v>
      </c>
      <c r="O128" s="14">
        <f t="shared" si="1"/>
        <v>46</v>
      </c>
      <c r="P128" s="14">
        <f t="shared" si="2"/>
        <v>344.55</v>
      </c>
    </row>
    <row r="129">
      <c r="B129" s="6" t="s">
        <v>165</v>
      </c>
      <c r="C129" s="6" t="s">
        <v>14</v>
      </c>
      <c r="D129" s="6" t="s">
        <v>21</v>
      </c>
      <c r="E129" s="6" t="s">
        <v>16</v>
      </c>
      <c r="F129" s="6" t="s">
        <v>28</v>
      </c>
      <c r="G129" s="6" t="s">
        <v>33</v>
      </c>
      <c r="H129" s="7">
        <v>45050.0</v>
      </c>
      <c r="I129" s="8">
        <v>486.0</v>
      </c>
      <c r="J129" s="8">
        <v>13.6</v>
      </c>
      <c r="K129" s="8">
        <v>323.94</v>
      </c>
      <c r="O129" s="14">
        <f t="shared" si="1"/>
        <v>486</v>
      </c>
      <c r="P129" s="14">
        <f t="shared" si="2"/>
        <v>13.6</v>
      </c>
    </row>
    <row r="130">
      <c r="B130" s="6" t="s">
        <v>166</v>
      </c>
      <c r="C130" s="6" t="s">
        <v>26</v>
      </c>
      <c r="D130" s="6" t="s">
        <v>15</v>
      </c>
      <c r="E130" s="6" t="s">
        <v>16</v>
      </c>
      <c r="F130" s="6" t="s">
        <v>28</v>
      </c>
      <c r="G130" s="6" t="s">
        <v>18</v>
      </c>
      <c r="H130" s="7">
        <v>45051.0</v>
      </c>
      <c r="I130" s="8">
        <v>287.0</v>
      </c>
      <c r="J130" s="8">
        <v>164.95</v>
      </c>
      <c r="K130" s="8">
        <v>32.41</v>
      </c>
      <c r="O130" s="14">
        <f t="shared" si="1"/>
        <v>287</v>
      </c>
      <c r="P130" s="14">
        <f t="shared" si="2"/>
        <v>164.95</v>
      </c>
    </row>
    <row r="131">
      <c r="B131" s="6" t="s">
        <v>167</v>
      </c>
      <c r="C131" s="6" t="s">
        <v>20</v>
      </c>
      <c r="D131" s="6" t="s">
        <v>39</v>
      </c>
      <c r="E131" s="6" t="s">
        <v>22</v>
      </c>
      <c r="F131" s="6" t="s">
        <v>17</v>
      </c>
      <c r="G131" s="6" t="s">
        <v>33</v>
      </c>
      <c r="H131" s="7">
        <v>45052.0</v>
      </c>
      <c r="I131" s="8">
        <v>205.0</v>
      </c>
      <c r="J131" s="8">
        <v>486.68</v>
      </c>
      <c r="K131" s="8">
        <v>113.19</v>
      </c>
      <c r="O131" s="14">
        <f t="shared" si="1"/>
        <v>205</v>
      </c>
      <c r="P131" s="14">
        <f t="shared" si="2"/>
        <v>486.68</v>
      </c>
    </row>
    <row r="132">
      <c r="B132" s="6" t="s">
        <v>168</v>
      </c>
      <c r="C132" s="6" t="s">
        <v>61</v>
      </c>
      <c r="D132" s="6" t="s">
        <v>15</v>
      </c>
      <c r="E132" s="6" t="s">
        <v>55</v>
      </c>
      <c r="F132" s="6" t="s">
        <v>28</v>
      </c>
      <c r="G132" s="6" t="s">
        <v>33</v>
      </c>
      <c r="H132" s="7">
        <v>45053.0</v>
      </c>
      <c r="I132" s="8">
        <v>413.0</v>
      </c>
      <c r="J132" s="8">
        <v>292.16</v>
      </c>
      <c r="K132" s="8">
        <v>372.27</v>
      </c>
      <c r="O132" s="14">
        <f t="shared" si="1"/>
        <v>413</v>
      </c>
      <c r="P132" s="14">
        <f t="shared" si="2"/>
        <v>292.16</v>
      </c>
    </row>
    <row r="133">
      <c r="B133" s="6" t="s">
        <v>169</v>
      </c>
      <c r="C133" s="6" t="s">
        <v>26</v>
      </c>
      <c r="D133" s="6" t="s">
        <v>31</v>
      </c>
      <c r="E133" s="6" t="s">
        <v>55</v>
      </c>
      <c r="F133" s="6" t="s">
        <v>28</v>
      </c>
      <c r="G133" s="6" t="s">
        <v>18</v>
      </c>
      <c r="H133" s="7">
        <v>45054.0</v>
      </c>
      <c r="I133" s="8">
        <v>361.0</v>
      </c>
      <c r="J133" s="8">
        <v>130.84</v>
      </c>
      <c r="K133" s="8">
        <v>102.72</v>
      </c>
      <c r="O133" s="14">
        <f t="shared" si="1"/>
        <v>361</v>
      </c>
      <c r="P133" s="14">
        <f t="shared" si="2"/>
        <v>130.84</v>
      </c>
    </row>
    <row r="134">
      <c r="B134" s="6" t="s">
        <v>170</v>
      </c>
      <c r="C134" s="6" t="s">
        <v>20</v>
      </c>
      <c r="D134" s="6" t="s">
        <v>31</v>
      </c>
      <c r="E134" s="6" t="s">
        <v>32</v>
      </c>
      <c r="F134" s="6" t="s">
        <v>17</v>
      </c>
      <c r="G134" s="6" t="s">
        <v>18</v>
      </c>
      <c r="H134" s="7">
        <v>45055.0</v>
      </c>
      <c r="I134" s="8">
        <v>493.0</v>
      </c>
      <c r="J134" s="8">
        <v>263.26</v>
      </c>
      <c r="K134" s="8">
        <v>312.91</v>
      </c>
      <c r="O134" s="14">
        <f t="shared" si="1"/>
        <v>493</v>
      </c>
      <c r="P134" s="14">
        <f t="shared" si="2"/>
        <v>263.26</v>
      </c>
    </row>
    <row r="135">
      <c r="B135" s="6" t="s">
        <v>171</v>
      </c>
      <c r="C135" s="6" t="s">
        <v>20</v>
      </c>
      <c r="D135" s="6" t="s">
        <v>39</v>
      </c>
      <c r="E135" s="6" t="s">
        <v>22</v>
      </c>
      <c r="F135" s="6" t="s">
        <v>28</v>
      </c>
      <c r="G135" s="6" t="s">
        <v>18</v>
      </c>
      <c r="H135" s="7">
        <v>45056.0</v>
      </c>
      <c r="I135" s="8">
        <v>251.0</v>
      </c>
      <c r="J135" s="8">
        <v>174.61</v>
      </c>
      <c r="K135" s="8">
        <v>330.4</v>
      </c>
      <c r="O135" s="14">
        <f t="shared" si="1"/>
        <v>251</v>
      </c>
      <c r="P135" s="14">
        <f t="shared" si="2"/>
        <v>174.61</v>
      </c>
    </row>
    <row r="136">
      <c r="B136" s="6" t="s">
        <v>172</v>
      </c>
      <c r="C136" s="6" t="s">
        <v>20</v>
      </c>
      <c r="D136" s="6" t="s">
        <v>21</v>
      </c>
      <c r="E136" s="6" t="s">
        <v>32</v>
      </c>
      <c r="F136" s="6" t="s">
        <v>28</v>
      </c>
      <c r="G136" s="6" t="s">
        <v>18</v>
      </c>
      <c r="H136" s="7">
        <v>45057.0</v>
      </c>
      <c r="I136" s="6"/>
      <c r="J136" s="8">
        <v>268.46</v>
      </c>
      <c r="K136" s="8">
        <v>199.19</v>
      </c>
      <c r="O136" s="14">
        <f t="shared" si="1"/>
        <v>49</v>
      </c>
      <c r="P136" s="14">
        <f t="shared" si="2"/>
        <v>268.46</v>
      </c>
    </row>
    <row r="137">
      <c r="B137" s="6" t="s">
        <v>173</v>
      </c>
      <c r="C137" s="6" t="s">
        <v>26</v>
      </c>
      <c r="D137" s="6" t="s">
        <v>31</v>
      </c>
      <c r="E137" s="6" t="s">
        <v>32</v>
      </c>
      <c r="F137" s="6" t="s">
        <v>28</v>
      </c>
      <c r="G137" s="6" t="s">
        <v>18</v>
      </c>
      <c r="H137" s="7">
        <v>45058.0</v>
      </c>
      <c r="I137" s="8">
        <v>228.0</v>
      </c>
      <c r="J137" s="8">
        <v>67.24</v>
      </c>
      <c r="K137" s="8">
        <v>155.77</v>
      </c>
      <c r="O137" s="14">
        <f t="shared" si="1"/>
        <v>228</v>
      </c>
      <c r="P137" s="14">
        <f t="shared" si="2"/>
        <v>67.24</v>
      </c>
    </row>
    <row r="138">
      <c r="B138" s="6" t="s">
        <v>174</v>
      </c>
      <c r="C138" s="6" t="s">
        <v>26</v>
      </c>
      <c r="D138" s="6" t="s">
        <v>63</v>
      </c>
      <c r="E138" s="6" t="s">
        <v>32</v>
      </c>
      <c r="F138" s="6" t="s">
        <v>17</v>
      </c>
      <c r="G138" s="6" t="s">
        <v>18</v>
      </c>
      <c r="H138" s="7">
        <v>45059.0</v>
      </c>
      <c r="I138" s="8">
        <v>201.0</v>
      </c>
      <c r="J138" s="8">
        <v>70.69</v>
      </c>
      <c r="K138" s="8">
        <v>181.15</v>
      </c>
      <c r="O138" s="14">
        <f t="shared" si="1"/>
        <v>201</v>
      </c>
      <c r="P138" s="14">
        <f t="shared" si="2"/>
        <v>70.69</v>
      </c>
    </row>
    <row r="139">
      <c r="B139" s="6" t="s">
        <v>175</v>
      </c>
      <c r="C139" s="6" t="s">
        <v>26</v>
      </c>
      <c r="D139" s="6" t="s">
        <v>31</v>
      </c>
      <c r="E139" s="6" t="s">
        <v>27</v>
      </c>
      <c r="F139" s="6" t="s">
        <v>17</v>
      </c>
      <c r="G139" s="6" t="s">
        <v>18</v>
      </c>
      <c r="H139" s="7">
        <v>45060.0</v>
      </c>
      <c r="I139" s="8">
        <v>26.0</v>
      </c>
      <c r="J139" s="8">
        <v>76.05</v>
      </c>
      <c r="K139" s="8">
        <v>92.33</v>
      </c>
      <c r="O139" s="14">
        <f t="shared" si="1"/>
        <v>26</v>
      </c>
      <c r="P139" s="14">
        <f t="shared" si="2"/>
        <v>76.05</v>
      </c>
    </row>
    <row r="140">
      <c r="B140" s="6" t="s">
        <v>176</v>
      </c>
      <c r="C140" s="6" t="s">
        <v>14</v>
      </c>
      <c r="D140" s="6" t="s">
        <v>31</v>
      </c>
      <c r="E140" s="6" t="s">
        <v>27</v>
      </c>
      <c r="F140" s="6" t="s">
        <v>17</v>
      </c>
      <c r="G140" s="6" t="s">
        <v>23</v>
      </c>
      <c r="H140" s="7">
        <v>45061.0</v>
      </c>
      <c r="I140" s="8">
        <v>21.0</v>
      </c>
      <c r="J140" s="8">
        <v>470.21</v>
      </c>
      <c r="K140" s="8">
        <v>355.98</v>
      </c>
      <c r="O140" s="14">
        <f t="shared" si="1"/>
        <v>21</v>
      </c>
      <c r="P140" s="14">
        <f t="shared" si="2"/>
        <v>470.21</v>
      </c>
    </row>
    <row r="141">
      <c r="B141" s="6" t="s">
        <v>177</v>
      </c>
      <c r="C141" s="6" t="s">
        <v>26</v>
      </c>
      <c r="D141" s="6" t="s">
        <v>21</v>
      </c>
      <c r="E141" s="6" t="s">
        <v>32</v>
      </c>
      <c r="F141" s="6" t="s">
        <v>28</v>
      </c>
      <c r="G141" s="6" t="s">
        <v>33</v>
      </c>
      <c r="H141" s="7">
        <v>45062.0</v>
      </c>
      <c r="I141" s="8">
        <v>415.0</v>
      </c>
      <c r="J141" s="8">
        <v>367.78</v>
      </c>
      <c r="K141" s="8">
        <v>181.35</v>
      </c>
      <c r="O141" s="14">
        <f t="shared" si="1"/>
        <v>415</v>
      </c>
      <c r="P141" s="14">
        <f t="shared" si="2"/>
        <v>367.78</v>
      </c>
    </row>
    <row r="142">
      <c r="B142" s="6" t="s">
        <v>178</v>
      </c>
      <c r="C142" s="6" t="s">
        <v>26</v>
      </c>
      <c r="D142" s="6" t="s">
        <v>15</v>
      </c>
      <c r="E142" s="6" t="s">
        <v>22</v>
      </c>
      <c r="F142" s="6" t="s">
        <v>28</v>
      </c>
      <c r="G142" s="6" t="s">
        <v>18</v>
      </c>
      <c r="H142" s="7">
        <v>45063.0</v>
      </c>
      <c r="I142" s="8">
        <v>410.0</v>
      </c>
      <c r="J142" s="8">
        <v>85.38</v>
      </c>
      <c r="K142" s="8">
        <v>353.22</v>
      </c>
      <c r="O142" s="14">
        <f t="shared" si="1"/>
        <v>410</v>
      </c>
      <c r="P142" s="14">
        <f t="shared" si="2"/>
        <v>85.38</v>
      </c>
    </row>
    <row r="143">
      <c r="B143" s="6" t="s">
        <v>179</v>
      </c>
      <c r="C143" s="6" t="s">
        <v>26</v>
      </c>
      <c r="D143" s="6" t="s">
        <v>31</v>
      </c>
      <c r="E143" s="6" t="s">
        <v>55</v>
      </c>
      <c r="F143" s="6" t="s">
        <v>17</v>
      </c>
      <c r="G143" s="6" t="s">
        <v>23</v>
      </c>
      <c r="H143" s="7">
        <v>45064.0</v>
      </c>
      <c r="I143" s="8">
        <v>403.0</v>
      </c>
      <c r="J143" s="8">
        <v>98.23</v>
      </c>
      <c r="K143" s="8">
        <v>44.07</v>
      </c>
      <c r="O143" s="14">
        <f t="shared" si="1"/>
        <v>403</v>
      </c>
      <c r="P143" s="14">
        <f t="shared" si="2"/>
        <v>98.23</v>
      </c>
    </row>
    <row r="144">
      <c r="B144" s="6" t="s">
        <v>180</v>
      </c>
      <c r="C144" s="6" t="s">
        <v>14</v>
      </c>
      <c r="D144" s="6" t="s">
        <v>39</v>
      </c>
      <c r="E144" s="6" t="s">
        <v>22</v>
      </c>
      <c r="F144" s="6" t="s">
        <v>28</v>
      </c>
      <c r="G144" s="6" t="s">
        <v>23</v>
      </c>
      <c r="H144" s="7">
        <v>45065.0</v>
      </c>
      <c r="I144" s="8">
        <v>383.0</v>
      </c>
      <c r="J144" s="8">
        <v>366.76</v>
      </c>
      <c r="K144" s="8">
        <v>395.33</v>
      </c>
      <c r="O144" s="14">
        <f t="shared" si="1"/>
        <v>383</v>
      </c>
      <c r="P144" s="14">
        <f t="shared" si="2"/>
        <v>366.76</v>
      </c>
    </row>
    <row r="145">
      <c r="B145" s="6" t="s">
        <v>181</v>
      </c>
      <c r="C145" s="6" t="s">
        <v>26</v>
      </c>
      <c r="D145" s="6" t="s">
        <v>15</v>
      </c>
      <c r="E145" s="6" t="s">
        <v>16</v>
      </c>
      <c r="F145" s="6" t="s">
        <v>28</v>
      </c>
      <c r="G145" s="6" t="s">
        <v>23</v>
      </c>
      <c r="H145" s="7">
        <v>45066.0</v>
      </c>
      <c r="I145" s="8">
        <v>202.0</v>
      </c>
      <c r="J145" s="8">
        <v>82.3</v>
      </c>
      <c r="K145" s="8">
        <v>178.42</v>
      </c>
      <c r="O145" s="14">
        <f t="shared" si="1"/>
        <v>202</v>
      </c>
      <c r="P145" s="14">
        <f t="shared" si="2"/>
        <v>82.3</v>
      </c>
    </row>
    <row r="146">
      <c r="B146" s="6" t="s">
        <v>182</v>
      </c>
      <c r="C146" s="6" t="s">
        <v>20</v>
      </c>
      <c r="D146" s="6" t="s">
        <v>63</v>
      </c>
      <c r="E146" s="6" t="s">
        <v>27</v>
      </c>
      <c r="F146" s="6" t="s">
        <v>28</v>
      </c>
      <c r="G146" s="6" t="s">
        <v>33</v>
      </c>
      <c r="H146" s="7">
        <v>45067.0</v>
      </c>
      <c r="I146" s="8">
        <v>31.0</v>
      </c>
      <c r="J146" s="8">
        <v>121.11</v>
      </c>
      <c r="K146" s="8">
        <v>21.04</v>
      </c>
      <c r="O146" s="14">
        <f t="shared" si="1"/>
        <v>31</v>
      </c>
      <c r="P146" s="14">
        <f t="shared" si="2"/>
        <v>121.11</v>
      </c>
    </row>
    <row r="147">
      <c r="B147" s="6" t="s">
        <v>183</v>
      </c>
      <c r="C147" s="6" t="s">
        <v>26</v>
      </c>
      <c r="D147" s="6" t="s">
        <v>21</v>
      </c>
      <c r="E147" s="6" t="s">
        <v>55</v>
      </c>
      <c r="F147" s="6" t="s">
        <v>28</v>
      </c>
      <c r="G147" s="6" t="s">
        <v>18</v>
      </c>
      <c r="H147" s="7">
        <v>45068.0</v>
      </c>
      <c r="I147" s="8">
        <v>483.0</v>
      </c>
      <c r="J147" s="8">
        <v>481.86</v>
      </c>
      <c r="K147" s="8">
        <v>17.13</v>
      </c>
      <c r="O147" s="14">
        <f t="shared" si="1"/>
        <v>483</v>
      </c>
      <c r="P147" s="14">
        <f t="shared" si="2"/>
        <v>481.86</v>
      </c>
    </row>
    <row r="148">
      <c r="B148" s="6" t="s">
        <v>184</v>
      </c>
      <c r="C148" s="6" t="s">
        <v>20</v>
      </c>
      <c r="D148" s="6" t="s">
        <v>63</v>
      </c>
      <c r="E148" s="6" t="s">
        <v>55</v>
      </c>
      <c r="F148" s="6" t="s">
        <v>28</v>
      </c>
      <c r="G148" s="6" t="s">
        <v>23</v>
      </c>
      <c r="H148" s="7">
        <v>45069.0</v>
      </c>
      <c r="I148" s="8">
        <v>129.0</v>
      </c>
      <c r="J148" s="8">
        <v>131.38</v>
      </c>
      <c r="K148" s="8">
        <v>298.99</v>
      </c>
      <c r="O148" s="14">
        <f t="shared" si="1"/>
        <v>129</v>
      </c>
      <c r="P148" s="14">
        <f t="shared" si="2"/>
        <v>131.38</v>
      </c>
    </row>
    <row r="149">
      <c r="B149" s="6" t="s">
        <v>185</v>
      </c>
      <c r="C149" s="6" t="s">
        <v>20</v>
      </c>
      <c r="D149" s="6" t="s">
        <v>15</v>
      </c>
      <c r="E149" s="6" t="s">
        <v>16</v>
      </c>
      <c r="F149" s="6" t="s">
        <v>17</v>
      </c>
      <c r="G149" s="6" t="s">
        <v>33</v>
      </c>
      <c r="H149" s="7">
        <v>45070.0</v>
      </c>
      <c r="I149" s="8">
        <v>219.0</v>
      </c>
      <c r="J149" s="8">
        <v>332.51</v>
      </c>
      <c r="K149" s="8">
        <v>264.3</v>
      </c>
      <c r="O149" s="14">
        <f t="shared" si="1"/>
        <v>219</v>
      </c>
      <c r="P149" s="14">
        <f t="shared" si="2"/>
        <v>332.51</v>
      </c>
    </row>
    <row r="150">
      <c r="B150" s="6" t="s">
        <v>186</v>
      </c>
      <c r="C150" s="6" t="s">
        <v>20</v>
      </c>
      <c r="D150" s="6" t="s">
        <v>15</v>
      </c>
      <c r="E150" s="6" t="s">
        <v>16</v>
      </c>
      <c r="F150" s="6" t="s">
        <v>28</v>
      </c>
      <c r="G150" s="6" t="s">
        <v>33</v>
      </c>
      <c r="H150" s="7">
        <v>45071.0</v>
      </c>
      <c r="I150" s="8">
        <v>315.0</v>
      </c>
      <c r="J150" s="8">
        <v>489.42</v>
      </c>
      <c r="K150" s="8">
        <v>321.25</v>
      </c>
      <c r="O150" s="14">
        <f t="shared" si="1"/>
        <v>315</v>
      </c>
      <c r="P150" s="14">
        <f t="shared" si="2"/>
        <v>489.42</v>
      </c>
    </row>
    <row r="151">
      <c r="B151" s="6" t="s">
        <v>187</v>
      </c>
      <c r="C151" s="6" t="s">
        <v>14</v>
      </c>
      <c r="D151" s="6" t="s">
        <v>15</v>
      </c>
      <c r="E151" s="6" t="s">
        <v>32</v>
      </c>
      <c r="F151" s="6" t="s">
        <v>17</v>
      </c>
      <c r="G151" s="6" t="s">
        <v>33</v>
      </c>
      <c r="H151" s="7">
        <v>45072.0</v>
      </c>
      <c r="I151" s="8">
        <v>279.0</v>
      </c>
      <c r="J151" s="8">
        <v>190.28</v>
      </c>
      <c r="K151" s="8">
        <v>43.94</v>
      </c>
      <c r="O151" s="14">
        <f t="shared" si="1"/>
        <v>279</v>
      </c>
      <c r="P151" s="14">
        <f t="shared" si="2"/>
        <v>190.28</v>
      </c>
    </row>
    <row r="152">
      <c r="B152" s="6" t="s">
        <v>188</v>
      </c>
      <c r="C152" s="6" t="s">
        <v>14</v>
      </c>
      <c r="D152" s="6" t="s">
        <v>63</v>
      </c>
      <c r="E152" s="6" t="s">
        <v>27</v>
      </c>
      <c r="F152" s="6" t="s">
        <v>28</v>
      </c>
      <c r="G152" s="6" t="s">
        <v>23</v>
      </c>
      <c r="H152" s="7">
        <v>45073.0</v>
      </c>
      <c r="I152" s="8">
        <v>201.0</v>
      </c>
      <c r="J152" s="8">
        <v>13.67</v>
      </c>
      <c r="K152" s="8">
        <v>16.16</v>
      </c>
      <c r="O152" s="14">
        <f t="shared" si="1"/>
        <v>201</v>
      </c>
      <c r="P152" s="14">
        <f t="shared" si="2"/>
        <v>13.67</v>
      </c>
    </row>
    <row r="153">
      <c r="B153" s="6" t="s">
        <v>189</v>
      </c>
      <c r="C153" s="6" t="s">
        <v>14</v>
      </c>
      <c r="D153" s="6" t="s">
        <v>15</v>
      </c>
      <c r="E153" s="6" t="s">
        <v>27</v>
      </c>
      <c r="F153" s="6" t="s">
        <v>17</v>
      </c>
      <c r="G153" s="6" t="s">
        <v>18</v>
      </c>
      <c r="H153" s="7">
        <v>45074.0</v>
      </c>
      <c r="I153" s="8">
        <v>184.0</v>
      </c>
      <c r="J153" s="8">
        <v>125.85</v>
      </c>
      <c r="K153" s="8">
        <v>204.41</v>
      </c>
      <c r="O153" s="14">
        <f t="shared" si="1"/>
        <v>184</v>
      </c>
      <c r="P153" s="14">
        <f t="shared" si="2"/>
        <v>125.85</v>
      </c>
    </row>
    <row r="154">
      <c r="B154" s="6" t="s">
        <v>190</v>
      </c>
      <c r="C154" s="6" t="s">
        <v>26</v>
      </c>
      <c r="D154" s="6" t="s">
        <v>63</v>
      </c>
      <c r="E154" s="6" t="s">
        <v>22</v>
      </c>
      <c r="F154" s="6" t="s">
        <v>28</v>
      </c>
      <c r="G154" s="6" t="s">
        <v>23</v>
      </c>
      <c r="H154" s="7">
        <v>45075.0</v>
      </c>
      <c r="I154" s="8">
        <v>294.0</v>
      </c>
      <c r="J154" s="8">
        <v>416.28</v>
      </c>
      <c r="K154" s="8">
        <v>156.26</v>
      </c>
      <c r="O154" s="14">
        <f t="shared" si="1"/>
        <v>294</v>
      </c>
      <c r="P154" s="14">
        <f t="shared" si="2"/>
        <v>416.28</v>
      </c>
    </row>
    <row r="155">
      <c r="B155" s="6" t="s">
        <v>191</v>
      </c>
      <c r="C155" s="6" t="s">
        <v>20</v>
      </c>
      <c r="D155" s="6" t="s">
        <v>15</v>
      </c>
      <c r="E155" s="6" t="s">
        <v>32</v>
      </c>
      <c r="F155" s="6" t="s">
        <v>17</v>
      </c>
      <c r="G155" s="6" t="s">
        <v>23</v>
      </c>
      <c r="H155" s="7">
        <v>45076.0</v>
      </c>
      <c r="I155" s="8">
        <v>213.0</v>
      </c>
      <c r="J155" s="8">
        <v>432.98</v>
      </c>
      <c r="K155" s="8">
        <v>185.85</v>
      </c>
      <c r="O155" s="14">
        <f t="shared" si="1"/>
        <v>213</v>
      </c>
      <c r="P155" s="14">
        <f t="shared" si="2"/>
        <v>432.98</v>
      </c>
    </row>
    <row r="156">
      <c r="B156" s="6" t="s">
        <v>192</v>
      </c>
      <c r="C156" s="6" t="s">
        <v>14</v>
      </c>
      <c r="D156" s="6" t="s">
        <v>39</v>
      </c>
      <c r="E156" s="6" t="s">
        <v>32</v>
      </c>
      <c r="F156" s="6" t="s">
        <v>28</v>
      </c>
      <c r="G156" s="6" t="s">
        <v>18</v>
      </c>
      <c r="H156" s="7">
        <v>45077.0</v>
      </c>
      <c r="I156" s="8">
        <v>173.0</v>
      </c>
      <c r="J156" s="8">
        <v>385.42</v>
      </c>
      <c r="K156" s="8">
        <v>396.65</v>
      </c>
      <c r="O156" s="14">
        <f t="shared" si="1"/>
        <v>173</v>
      </c>
      <c r="P156" s="14">
        <f t="shared" si="2"/>
        <v>385.42</v>
      </c>
    </row>
    <row r="157">
      <c r="B157" s="6" t="s">
        <v>193</v>
      </c>
      <c r="C157" s="6" t="s">
        <v>14</v>
      </c>
      <c r="D157" s="6" t="s">
        <v>15</v>
      </c>
      <c r="E157" s="6" t="s">
        <v>32</v>
      </c>
      <c r="F157" s="6" t="s">
        <v>17</v>
      </c>
      <c r="G157" s="6" t="s">
        <v>18</v>
      </c>
      <c r="H157" s="7">
        <v>45078.0</v>
      </c>
      <c r="I157" s="8">
        <v>260.0</v>
      </c>
      <c r="J157" s="8">
        <v>60.99</v>
      </c>
      <c r="K157" s="8">
        <v>388.36</v>
      </c>
      <c r="O157" s="14">
        <f t="shared" si="1"/>
        <v>260</v>
      </c>
      <c r="P157" s="14">
        <f t="shared" si="2"/>
        <v>60.99</v>
      </c>
    </row>
    <row r="158">
      <c r="B158" s="6" t="s">
        <v>194</v>
      </c>
      <c r="C158" s="6" t="s">
        <v>26</v>
      </c>
      <c r="D158" s="6" t="s">
        <v>63</v>
      </c>
      <c r="E158" s="6" t="s">
        <v>32</v>
      </c>
      <c r="F158" s="6" t="s">
        <v>28</v>
      </c>
      <c r="G158" s="6" t="s">
        <v>18</v>
      </c>
      <c r="H158" s="7">
        <v>45079.0</v>
      </c>
      <c r="I158" s="8">
        <v>236.0</v>
      </c>
      <c r="J158" s="8">
        <v>398.78</v>
      </c>
      <c r="K158" s="8">
        <v>377.04</v>
      </c>
      <c r="O158" s="14">
        <f t="shared" si="1"/>
        <v>236</v>
      </c>
      <c r="P158" s="14">
        <f t="shared" si="2"/>
        <v>398.78</v>
      </c>
    </row>
    <row r="159">
      <c r="B159" s="6" t="s">
        <v>195</v>
      </c>
      <c r="C159" s="6" t="s">
        <v>14</v>
      </c>
      <c r="D159" s="6" t="s">
        <v>31</v>
      </c>
      <c r="E159" s="6" t="s">
        <v>27</v>
      </c>
      <c r="F159" s="6" t="s">
        <v>17</v>
      </c>
      <c r="G159" s="6" t="s">
        <v>33</v>
      </c>
      <c r="H159" s="7">
        <v>45080.0</v>
      </c>
      <c r="I159" s="8">
        <v>445.0</v>
      </c>
      <c r="J159" s="8">
        <v>459.75</v>
      </c>
      <c r="K159" s="8">
        <v>313.97</v>
      </c>
      <c r="O159" s="14">
        <f t="shared" si="1"/>
        <v>445</v>
      </c>
      <c r="P159" s="14">
        <f t="shared" si="2"/>
        <v>459.75</v>
      </c>
    </row>
    <row r="160">
      <c r="B160" s="6" t="s">
        <v>196</v>
      </c>
      <c r="C160" s="6" t="s">
        <v>26</v>
      </c>
      <c r="D160" s="6" t="s">
        <v>15</v>
      </c>
      <c r="E160" s="6" t="s">
        <v>27</v>
      </c>
      <c r="F160" s="6" t="s">
        <v>28</v>
      </c>
      <c r="G160" s="6" t="s">
        <v>18</v>
      </c>
      <c r="H160" s="7">
        <v>45081.0</v>
      </c>
      <c r="I160" s="8">
        <v>390.0</v>
      </c>
      <c r="J160" s="8">
        <v>302.3</v>
      </c>
      <c r="K160" s="8">
        <v>143.23</v>
      </c>
      <c r="O160" s="14">
        <f t="shared" si="1"/>
        <v>390</v>
      </c>
      <c r="P160" s="14">
        <f t="shared" si="2"/>
        <v>302.3</v>
      </c>
    </row>
    <row r="161">
      <c r="B161" s="6" t="s">
        <v>197</v>
      </c>
      <c r="C161" s="6" t="s">
        <v>61</v>
      </c>
      <c r="D161" s="6" t="s">
        <v>31</v>
      </c>
      <c r="E161" s="6" t="s">
        <v>32</v>
      </c>
      <c r="F161" s="6" t="s">
        <v>17</v>
      </c>
      <c r="G161" s="6" t="s">
        <v>23</v>
      </c>
      <c r="H161" s="7">
        <v>45082.0</v>
      </c>
      <c r="I161" s="8">
        <v>469.0</v>
      </c>
      <c r="J161" s="8">
        <v>470.73</v>
      </c>
      <c r="K161" s="8">
        <v>166.03</v>
      </c>
      <c r="O161" s="14">
        <f t="shared" si="1"/>
        <v>469</v>
      </c>
      <c r="P161" s="14">
        <f t="shared" si="2"/>
        <v>470.73</v>
      </c>
    </row>
    <row r="162">
      <c r="B162" s="6" t="s">
        <v>198</v>
      </c>
      <c r="C162" s="6" t="s">
        <v>14</v>
      </c>
      <c r="D162" s="6" t="s">
        <v>39</v>
      </c>
      <c r="E162" s="6" t="s">
        <v>22</v>
      </c>
      <c r="F162" s="6" t="s">
        <v>17</v>
      </c>
      <c r="G162" s="6" t="s">
        <v>18</v>
      </c>
      <c r="H162" s="7">
        <v>45083.0</v>
      </c>
      <c r="I162" s="8">
        <v>16.0</v>
      </c>
      <c r="J162" s="6"/>
      <c r="K162" s="8">
        <v>220.75</v>
      </c>
      <c r="O162" s="14">
        <f t="shared" si="1"/>
        <v>16</v>
      </c>
      <c r="P162" s="14">
        <f t="shared" si="2"/>
        <v>249.6452059</v>
      </c>
    </row>
    <row r="163">
      <c r="B163" s="6" t="s">
        <v>199</v>
      </c>
      <c r="C163" s="6" t="s">
        <v>61</v>
      </c>
      <c r="D163" s="6" t="s">
        <v>21</v>
      </c>
      <c r="E163" s="6" t="s">
        <v>55</v>
      </c>
      <c r="F163" s="6" t="s">
        <v>28</v>
      </c>
      <c r="G163" s="6" t="s">
        <v>23</v>
      </c>
      <c r="H163" s="7">
        <v>45084.0</v>
      </c>
      <c r="I163" s="8">
        <v>38.0</v>
      </c>
      <c r="J163" s="8">
        <v>335.15</v>
      </c>
      <c r="K163" s="8">
        <v>332.55</v>
      </c>
      <c r="O163" s="14">
        <f t="shared" si="1"/>
        <v>38</v>
      </c>
      <c r="P163" s="14">
        <f t="shared" si="2"/>
        <v>335.15</v>
      </c>
    </row>
    <row r="164">
      <c r="B164" s="6" t="s">
        <v>200</v>
      </c>
      <c r="C164" s="6" t="s">
        <v>26</v>
      </c>
      <c r="D164" s="6" t="s">
        <v>39</v>
      </c>
      <c r="E164" s="6"/>
      <c r="F164" s="6" t="s">
        <v>28</v>
      </c>
      <c r="G164" s="6" t="s">
        <v>33</v>
      </c>
      <c r="H164" s="7">
        <v>45085.0</v>
      </c>
      <c r="I164" s="8">
        <v>404.0</v>
      </c>
      <c r="J164" s="8">
        <v>290.71</v>
      </c>
      <c r="K164" s="8">
        <v>29.35</v>
      </c>
      <c r="O164" s="14">
        <f t="shared" si="1"/>
        <v>404</v>
      </c>
      <c r="P164" s="14">
        <f t="shared" si="2"/>
        <v>290.71</v>
      </c>
    </row>
    <row r="165">
      <c r="B165" s="6" t="s">
        <v>201</v>
      </c>
      <c r="C165" s="6" t="s">
        <v>20</v>
      </c>
      <c r="D165" s="6" t="s">
        <v>15</v>
      </c>
      <c r="E165" s="6" t="s">
        <v>22</v>
      </c>
      <c r="F165" s="6" t="s">
        <v>17</v>
      </c>
      <c r="G165" s="6" t="s">
        <v>23</v>
      </c>
      <c r="H165" s="7">
        <v>45086.0</v>
      </c>
      <c r="I165" s="8">
        <v>42.0</v>
      </c>
      <c r="J165" s="8">
        <v>177.54</v>
      </c>
      <c r="K165" s="8">
        <v>170.87</v>
      </c>
      <c r="O165" s="14">
        <f t="shared" si="1"/>
        <v>42</v>
      </c>
      <c r="P165" s="14">
        <f t="shared" si="2"/>
        <v>177.54</v>
      </c>
    </row>
    <row r="166">
      <c r="B166" s="6" t="s">
        <v>202</v>
      </c>
      <c r="C166" s="6" t="s">
        <v>14</v>
      </c>
      <c r="D166" s="6" t="s">
        <v>31</v>
      </c>
      <c r="E166" s="6" t="s">
        <v>32</v>
      </c>
      <c r="F166" s="6" t="s">
        <v>28</v>
      </c>
      <c r="G166" s="6" t="s">
        <v>23</v>
      </c>
      <c r="H166" s="7">
        <v>45087.0</v>
      </c>
      <c r="I166" s="8">
        <v>143.0</v>
      </c>
      <c r="J166" s="8">
        <v>83.85</v>
      </c>
      <c r="K166" s="8">
        <v>34.88</v>
      </c>
      <c r="O166" s="14">
        <f t="shared" si="1"/>
        <v>143</v>
      </c>
      <c r="P166" s="14">
        <f t="shared" si="2"/>
        <v>83.85</v>
      </c>
    </row>
    <row r="167">
      <c r="B167" s="6" t="s">
        <v>203</v>
      </c>
      <c r="C167" s="6" t="s">
        <v>26</v>
      </c>
      <c r="D167" s="6" t="s">
        <v>31</v>
      </c>
      <c r="E167" s="6" t="s">
        <v>27</v>
      </c>
      <c r="F167" s="6" t="s">
        <v>17</v>
      </c>
      <c r="G167" s="6" t="s">
        <v>18</v>
      </c>
      <c r="H167" s="7">
        <v>45088.0</v>
      </c>
      <c r="I167" s="8">
        <v>376.0</v>
      </c>
      <c r="J167" s="8">
        <v>304.45</v>
      </c>
      <c r="K167" s="8">
        <v>206.83</v>
      </c>
      <c r="O167" s="14">
        <f t="shared" si="1"/>
        <v>376</v>
      </c>
      <c r="P167" s="14">
        <f t="shared" si="2"/>
        <v>304.45</v>
      </c>
    </row>
    <row r="168">
      <c r="B168" s="6" t="s">
        <v>204</v>
      </c>
      <c r="C168" s="6" t="s">
        <v>20</v>
      </c>
      <c r="D168" s="6" t="s">
        <v>63</v>
      </c>
      <c r="E168" s="6" t="s">
        <v>55</v>
      </c>
      <c r="F168" s="6" t="s">
        <v>17</v>
      </c>
      <c r="G168" s="6" t="s">
        <v>18</v>
      </c>
      <c r="H168" s="7">
        <v>45089.0</v>
      </c>
      <c r="I168" s="8">
        <v>88.0</v>
      </c>
      <c r="J168" s="8">
        <v>162.47</v>
      </c>
      <c r="K168" s="8">
        <v>359.76</v>
      </c>
      <c r="O168" s="14">
        <f t="shared" si="1"/>
        <v>88</v>
      </c>
      <c r="P168" s="14">
        <f t="shared" si="2"/>
        <v>162.47</v>
      </c>
    </row>
    <row r="169">
      <c r="B169" s="6" t="s">
        <v>205</v>
      </c>
      <c r="C169" s="6" t="s">
        <v>20</v>
      </c>
      <c r="D169" s="6" t="s">
        <v>31</v>
      </c>
      <c r="E169" s="6" t="s">
        <v>16</v>
      </c>
      <c r="F169" s="6" t="s">
        <v>17</v>
      </c>
      <c r="G169" s="6" t="s">
        <v>23</v>
      </c>
      <c r="H169" s="7">
        <v>45090.0</v>
      </c>
      <c r="I169" s="8">
        <v>425.0</v>
      </c>
      <c r="J169" s="8">
        <v>433.89</v>
      </c>
      <c r="K169" s="8">
        <v>313.43</v>
      </c>
      <c r="O169" s="14">
        <f t="shared" si="1"/>
        <v>425</v>
      </c>
      <c r="P169" s="14">
        <f t="shared" si="2"/>
        <v>433.89</v>
      </c>
    </row>
    <row r="170">
      <c r="B170" s="6" t="s">
        <v>206</v>
      </c>
      <c r="C170" s="6" t="s">
        <v>61</v>
      </c>
      <c r="D170" s="6" t="s">
        <v>63</v>
      </c>
      <c r="E170" s="6" t="s">
        <v>16</v>
      </c>
      <c r="F170" s="6" t="s">
        <v>28</v>
      </c>
      <c r="G170" s="6" t="s">
        <v>18</v>
      </c>
      <c r="H170" s="7">
        <v>45091.0</v>
      </c>
      <c r="I170" s="8">
        <v>444.0</v>
      </c>
      <c r="J170" s="8">
        <v>496.7</v>
      </c>
      <c r="K170" s="8">
        <v>92.68</v>
      </c>
      <c r="O170" s="14">
        <f t="shared" si="1"/>
        <v>444</v>
      </c>
      <c r="P170" s="14">
        <f t="shared" si="2"/>
        <v>496.7</v>
      </c>
    </row>
    <row r="171">
      <c r="B171" s="6" t="s">
        <v>207</v>
      </c>
      <c r="C171" s="6" t="s">
        <v>26</v>
      </c>
      <c r="D171" s="6" t="s">
        <v>21</v>
      </c>
      <c r="E171" s="6" t="s">
        <v>22</v>
      </c>
      <c r="F171" s="6" t="s">
        <v>17</v>
      </c>
      <c r="G171" s="6" t="s">
        <v>33</v>
      </c>
      <c r="H171" s="7">
        <v>45092.0</v>
      </c>
      <c r="I171" s="8">
        <v>468.0</v>
      </c>
      <c r="J171" s="8">
        <v>377.45</v>
      </c>
      <c r="K171" s="8">
        <v>390.44</v>
      </c>
      <c r="O171" s="14">
        <f t="shared" si="1"/>
        <v>468</v>
      </c>
      <c r="P171" s="14">
        <f t="shared" si="2"/>
        <v>377.45</v>
      </c>
    </row>
    <row r="172">
      <c r="B172" s="6" t="s">
        <v>208</v>
      </c>
      <c r="C172" s="6" t="s">
        <v>20</v>
      </c>
      <c r="D172" s="6" t="s">
        <v>15</v>
      </c>
      <c r="E172" s="6" t="s">
        <v>32</v>
      </c>
      <c r="F172" s="6" t="s">
        <v>17</v>
      </c>
      <c r="G172" s="6" t="s">
        <v>33</v>
      </c>
      <c r="H172" s="7">
        <v>45093.0</v>
      </c>
      <c r="I172" s="8">
        <v>67.0</v>
      </c>
      <c r="J172" s="8">
        <v>49.79</v>
      </c>
      <c r="K172" s="8">
        <v>267.61</v>
      </c>
      <c r="O172" s="14">
        <f t="shared" si="1"/>
        <v>67</v>
      </c>
      <c r="P172" s="14">
        <f t="shared" si="2"/>
        <v>49.79</v>
      </c>
    </row>
    <row r="173">
      <c r="B173" s="6" t="s">
        <v>209</v>
      </c>
      <c r="C173" s="6" t="s">
        <v>14</v>
      </c>
      <c r="D173" s="6" t="s">
        <v>63</v>
      </c>
      <c r="E173" s="6" t="s">
        <v>55</v>
      </c>
      <c r="F173" s="6" t="s">
        <v>28</v>
      </c>
      <c r="G173" s="6" t="s">
        <v>18</v>
      </c>
      <c r="H173" s="7">
        <v>45094.0</v>
      </c>
      <c r="I173" s="8">
        <v>480.0</v>
      </c>
      <c r="J173" s="8">
        <v>147.9</v>
      </c>
      <c r="K173" s="8">
        <v>6.15</v>
      </c>
      <c r="O173" s="14">
        <f t="shared" si="1"/>
        <v>480</v>
      </c>
      <c r="P173" s="14">
        <f t="shared" si="2"/>
        <v>147.9</v>
      </c>
    </row>
    <row r="174">
      <c r="B174" s="6" t="s">
        <v>210</v>
      </c>
      <c r="C174" s="6" t="s">
        <v>14</v>
      </c>
      <c r="D174" s="6" t="s">
        <v>21</v>
      </c>
      <c r="E174" s="6" t="s">
        <v>32</v>
      </c>
      <c r="F174" s="6" t="s">
        <v>28</v>
      </c>
      <c r="G174" s="6" t="s">
        <v>33</v>
      </c>
      <c r="H174" s="7">
        <v>45095.0</v>
      </c>
      <c r="I174" s="8">
        <v>35.0</v>
      </c>
      <c r="J174" s="8">
        <v>59.01</v>
      </c>
      <c r="K174" s="8">
        <v>103.65</v>
      </c>
      <c r="O174" s="14">
        <f t="shared" si="1"/>
        <v>35</v>
      </c>
      <c r="P174" s="14">
        <f t="shared" si="2"/>
        <v>59.01</v>
      </c>
    </row>
    <row r="175">
      <c r="B175" s="6" t="s">
        <v>211</v>
      </c>
      <c r="C175" s="6" t="s">
        <v>61</v>
      </c>
      <c r="D175" s="6" t="s">
        <v>31</v>
      </c>
      <c r="E175" s="6" t="s">
        <v>55</v>
      </c>
      <c r="F175" s="6" t="s">
        <v>28</v>
      </c>
      <c r="G175" s="6" t="s">
        <v>18</v>
      </c>
      <c r="H175" s="7">
        <v>45096.0</v>
      </c>
      <c r="I175" s="8">
        <v>491.0</v>
      </c>
      <c r="J175" s="8">
        <v>327.0</v>
      </c>
      <c r="K175" s="8">
        <v>105.76</v>
      </c>
      <c r="O175" s="14">
        <f t="shared" si="1"/>
        <v>491</v>
      </c>
      <c r="P175" s="14">
        <f t="shared" si="2"/>
        <v>327</v>
      </c>
    </row>
    <row r="176">
      <c r="B176" s="6" t="s">
        <v>212</v>
      </c>
      <c r="C176" s="6" t="s">
        <v>20</v>
      </c>
      <c r="D176" s="6" t="s">
        <v>31</v>
      </c>
      <c r="E176" s="6" t="s">
        <v>22</v>
      </c>
      <c r="F176" s="6" t="s">
        <v>28</v>
      </c>
      <c r="G176" s="6" t="s">
        <v>23</v>
      </c>
      <c r="H176" s="7">
        <v>45097.0</v>
      </c>
      <c r="I176" s="8">
        <v>439.0</v>
      </c>
      <c r="J176" s="8">
        <v>383.77</v>
      </c>
      <c r="K176" s="8">
        <v>29.56</v>
      </c>
      <c r="O176" s="14">
        <f t="shared" si="1"/>
        <v>439</v>
      </c>
      <c r="P176" s="14">
        <f t="shared" si="2"/>
        <v>383.77</v>
      </c>
    </row>
    <row r="177">
      <c r="B177" s="6" t="s">
        <v>213</v>
      </c>
      <c r="C177" s="6" t="s">
        <v>26</v>
      </c>
      <c r="D177" s="6" t="s">
        <v>21</v>
      </c>
      <c r="E177" s="6" t="s">
        <v>22</v>
      </c>
      <c r="F177" s="6" t="s">
        <v>17</v>
      </c>
      <c r="G177" s="6" t="s">
        <v>23</v>
      </c>
      <c r="H177" s="7">
        <v>45098.0</v>
      </c>
      <c r="I177" s="8">
        <v>235.0</v>
      </c>
      <c r="J177" s="8">
        <v>463.21</v>
      </c>
      <c r="K177" s="8">
        <v>384.01</v>
      </c>
      <c r="O177" s="14">
        <f t="shared" si="1"/>
        <v>235</v>
      </c>
      <c r="P177" s="14">
        <f t="shared" si="2"/>
        <v>463.21</v>
      </c>
    </row>
    <row r="178">
      <c r="B178" s="6" t="s">
        <v>214</v>
      </c>
      <c r="C178" s="6" t="s">
        <v>14</v>
      </c>
      <c r="D178" s="6" t="s">
        <v>31</v>
      </c>
      <c r="E178" s="6" t="s">
        <v>16</v>
      </c>
      <c r="F178" s="6" t="s">
        <v>17</v>
      </c>
      <c r="G178" s="6" t="s">
        <v>33</v>
      </c>
      <c r="H178" s="7">
        <v>45099.0</v>
      </c>
      <c r="I178" s="8">
        <v>294.0</v>
      </c>
      <c r="J178" s="8">
        <v>221.9</v>
      </c>
      <c r="K178" s="8">
        <v>192.35</v>
      </c>
      <c r="O178" s="14">
        <f t="shared" si="1"/>
        <v>294</v>
      </c>
      <c r="P178" s="14">
        <f t="shared" si="2"/>
        <v>221.9</v>
      </c>
    </row>
    <row r="179">
      <c r="B179" s="6" t="s">
        <v>215</v>
      </c>
      <c r="C179" s="6" t="s">
        <v>20</v>
      </c>
      <c r="D179" s="6" t="s">
        <v>21</v>
      </c>
      <c r="E179" s="6" t="s">
        <v>32</v>
      </c>
      <c r="F179" s="6" t="s">
        <v>17</v>
      </c>
      <c r="G179" s="6" t="s">
        <v>18</v>
      </c>
      <c r="H179" s="7">
        <v>45100.0</v>
      </c>
      <c r="I179" s="8">
        <v>13.0</v>
      </c>
      <c r="J179" s="8">
        <v>451.18</v>
      </c>
      <c r="K179" s="8">
        <v>358.53</v>
      </c>
      <c r="O179" s="14">
        <f t="shared" si="1"/>
        <v>13</v>
      </c>
      <c r="P179" s="14">
        <f t="shared" si="2"/>
        <v>451.18</v>
      </c>
    </row>
    <row r="180">
      <c r="B180" s="6" t="s">
        <v>216</v>
      </c>
      <c r="C180" s="6" t="s">
        <v>20</v>
      </c>
      <c r="D180" s="6" t="s">
        <v>63</v>
      </c>
      <c r="E180" s="6" t="s">
        <v>16</v>
      </c>
      <c r="F180" s="6" t="s">
        <v>17</v>
      </c>
      <c r="G180" s="6" t="s">
        <v>18</v>
      </c>
      <c r="H180" s="7">
        <v>45101.0</v>
      </c>
      <c r="I180" s="8">
        <v>474.0</v>
      </c>
      <c r="J180" s="8">
        <v>439.56</v>
      </c>
      <c r="K180" s="8">
        <v>130.24</v>
      </c>
      <c r="O180" s="14">
        <f t="shared" si="1"/>
        <v>474</v>
      </c>
      <c r="P180" s="14">
        <f t="shared" si="2"/>
        <v>439.56</v>
      </c>
    </row>
    <row r="181">
      <c r="B181" s="6" t="s">
        <v>217</v>
      </c>
      <c r="C181" s="6" t="s">
        <v>61</v>
      </c>
      <c r="D181" s="6" t="s">
        <v>63</v>
      </c>
      <c r="E181" s="6" t="s">
        <v>32</v>
      </c>
      <c r="F181" s="6" t="s">
        <v>28</v>
      </c>
      <c r="G181" s="6" t="s">
        <v>33</v>
      </c>
      <c r="H181" s="7">
        <v>45102.0</v>
      </c>
      <c r="I181" s="8">
        <v>108.0</v>
      </c>
      <c r="J181" s="8">
        <v>162.01</v>
      </c>
      <c r="K181" s="8">
        <v>51.84</v>
      </c>
      <c r="O181" s="14">
        <f t="shared" si="1"/>
        <v>108</v>
      </c>
      <c r="P181" s="14">
        <f t="shared" si="2"/>
        <v>162.01</v>
      </c>
    </row>
    <row r="182">
      <c r="B182" s="6" t="s">
        <v>218</v>
      </c>
      <c r="C182" s="6" t="s">
        <v>14</v>
      </c>
      <c r="D182" s="6" t="s">
        <v>21</v>
      </c>
      <c r="E182" s="6" t="s">
        <v>16</v>
      </c>
      <c r="F182" s="6" t="s">
        <v>17</v>
      </c>
      <c r="G182" s="6" t="s">
        <v>23</v>
      </c>
      <c r="H182" s="7">
        <v>45103.0</v>
      </c>
      <c r="I182" s="8">
        <v>406.0</v>
      </c>
      <c r="J182" s="8">
        <v>435.11</v>
      </c>
      <c r="K182" s="8">
        <v>190.79</v>
      </c>
      <c r="O182" s="14">
        <f t="shared" si="1"/>
        <v>406</v>
      </c>
      <c r="P182" s="14">
        <f t="shared" si="2"/>
        <v>435.11</v>
      </c>
    </row>
    <row r="183">
      <c r="B183" s="6" t="s">
        <v>219</v>
      </c>
      <c r="C183" s="6" t="s">
        <v>14</v>
      </c>
      <c r="D183" s="6" t="s">
        <v>63</v>
      </c>
      <c r="E183" s="6" t="s">
        <v>27</v>
      </c>
      <c r="F183" s="6" t="s">
        <v>17</v>
      </c>
      <c r="G183" s="6" t="s">
        <v>33</v>
      </c>
      <c r="H183" s="7">
        <v>45104.0</v>
      </c>
      <c r="I183" s="8">
        <v>498.0</v>
      </c>
      <c r="J183" s="8">
        <v>190.96</v>
      </c>
      <c r="K183" s="8">
        <v>47.35</v>
      </c>
      <c r="O183" s="14">
        <f t="shared" si="1"/>
        <v>498</v>
      </c>
      <c r="P183" s="14">
        <f t="shared" si="2"/>
        <v>190.96</v>
      </c>
    </row>
    <row r="184">
      <c r="B184" s="6" t="s">
        <v>220</v>
      </c>
      <c r="C184" s="6" t="s">
        <v>26</v>
      </c>
      <c r="D184" s="6" t="s">
        <v>63</v>
      </c>
      <c r="E184" s="6" t="s">
        <v>27</v>
      </c>
      <c r="F184" s="6" t="s">
        <v>28</v>
      </c>
      <c r="G184" s="6" t="s">
        <v>23</v>
      </c>
      <c r="H184" s="7">
        <v>45105.0</v>
      </c>
      <c r="I184" s="8">
        <v>48.0</v>
      </c>
      <c r="J184" s="8">
        <v>151.95</v>
      </c>
      <c r="K184" s="8">
        <v>195.43</v>
      </c>
      <c r="O184" s="14">
        <f t="shared" si="1"/>
        <v>48</v>
      </c>
      <c r="P184" s="14">
        <f t="shared" si="2"/>
        <v>151.95</v>
      </c>
    </row>
    <row r="185">
      <c r="B185" s="6" t="s">
        <v>221</v>
      </c>
      <c r="C185" s="6" t="s">
        <v>14</v>
      </c>
      <c r="D185" s="6" t="s">
        <v>63</v>
      </c>
      <c r="E185" s="6" t="s">
        <v>27</v>
      </c>
      <c r="F185" s="6" t="s">
        <v>17</v>
      </c>
      <c r="G185" s="6" t="s">
        <v>18</v>
      </c>
      <c r="H185" s="7">
        <v>45106.0</v>
      </c>
      <c r="I185" s="8">
        <v>280.0</v>
      </c>
      <c r="J185" s="8">
        <v>326.29</v>
      </c>
      <c r="K185" s="8">
        <v>368.28</v>
      </c>
      <c r="O185" s="14">
        <f t="shared" si="1"/>
        <v>280</v>
      </c>
      <c r="P185" s="14">
        <f t="shared" si="2"/>
        <v>326.29</v>
      </c>
    </row>
    <row r="186">
      <c r="B186" s="6" t="s">
        <v>222</v>
      </c>
      <c r="C186" s="6" t="s">
        <v>26</v>
      </c>
      <c r="D186" s="6" t="s">
        <v>39</v>
      </c>
      <c r="E186" s="6" t="s">
        <v>27</v>
      </c>
      <c r="F186" s="6" t="s">
        <v>17</v>
      </c>
      <c r="G186" s="6" t="s">
        <v>23</v>
      </c>
      <c r="H186" s="7">
        <v>45107.0</v>
      </c>
      <c r="I186" s="8">
        <v>384.0</v>
      </c>
      <c r="J186" s="8">
        <v>167.55</v>
      </c>
      <c r="K186" s="8">
        <v>209.27</v>
      </c>
      <c r="O186" s="14">
        <f t="shared" si="1"/>
        <v>384</v>
      </c>
      <c r="P186" s="14">
        <f t="shared" si="2"/>
        <v>167.55</v>
      </c>
    </row>
    <row r="187">
      <c r="B187" s="6" t="s">
        <v>223</v>
      </c>
      <c r="C187" s="6" t="s">
        <v>14</v>
      </c>
      <c r="D187" s="6" t="s">
        <v>15</v>
      </c>
      <c r="E187" s="6" t="s">
        <v>55</v>
      </c>
      <c r="F187" s="6" t="s">
        <v>17</v>
      </c>
      <c r="G187" s="6" t="s">
        <v>33</v>
      </c>
      <c r="H187" s="7">
        <v>45108.0</v>
      </c>
      <c r="I187" s="8">
        <v>294.0</v>
      </c>
      <c r="J187" s="8">
        <v>316.95</v>
      </c>
      <c r="K187" s="8">
        <v>247.37</v>
      </c>
      <c r="O187" s="14">
        <f t="shared" si="1"/>
        <v>294</v>
      </c>
      <c r="P187" s="14">
        <f t="shared" si="2"/>
        <v>316.95</v>
      </c>
    </row>
    <row r="188">
      <c r="B188" s="6" t="s">
        <v>224</v>
      </c>
      <c r="C188" s="6" t="s">
        <v>61</v>
      </c>
      <c r="D188" s="6" t="s">
        <v>31</v>
      </c>
      <c r="E188" s="6" t="s">
        <v>27</v>
      </c>
      <c r="F188" s="6" t="s">
        <v>17</v>
      </c>
      <c r="G188" s="6" t="s">
        <v>18</v>
      </c>
      <c r="H188" s="7">
        <v>45109.0</v>
      </c>
      <c r="I188" s="8">
        <v>166.0</v>
      </c>
      <c r="J188" s="8">
        <v>306.87</v>
      </c>
      <c r="K188" s="8">
        <v>64.34</v>
      </c>
      <c r="O188" s="14">
        <f t="shared" si="1"/>
        <v>166</v>
      </c>
      <c r="P188" s="14">
        <f t="shared" si="2"/>
        <v>306.87</v>
      </c>
    </row>
    <row r="189">
      <c r="B189" s="6" t="s">
        <v>225</v>
      </c>
      <c r="C189" s="6" t="s">
        <v>14</v>
      </c>
      <c r="D189" s="6" t="s">
        <v>39</v>
      </c>
      <c r="E189" s="6" t="s">
        <v>22</v>
      </c>
      <c r="F189" s="6" t="s">
        <v>17</v>
      </c>
      <c r="G189" s="6" t="s">
        <v>33</v>
      </c>
      <c r="H189" s="7">
        <v>45110.0</v>
      </c>
      <c r="I189" s="8">
        <v>84.0</v>
      </c>
      <c r="J189" s="8">
        <v>283.9</v>
      </c>
      <c r="K189" s="8">
        <v>19.41</v>
      </c>
      <c r="O189" s="14">
        <f t="shared" si="1"/>
        <v>84</v>
      </c>
      <c r="P189" s="14">
        <f t="shared" si="2"/>
        <v>283.9</v>
      </c>
    </row>
    <row r="190">
      <c r="B190" s="6" t="s">
        <v>226</v>
      </c>
      <c r="C190" s="6" t="s">
        <v>26</v>
      </c>
      <c r="D190" s="6" t="s">
        <v>63</v>
      </c>
      <c r="E190" s="6" t="s">
        <v>22</v>
      </c>
      <c r="F190" s="6" t="s">
        <v>17</v>
      </c>
      <c r="G190" s="6" t="s">
        <v>33</v>
      </c>
      <c r="H190" s="7">
        <v>45111.0</v>
      </c>
      <c r="I190" s="8">
        <v>381.0</v>
      </c>
      <c r="J190" s="8">
        <v>193.31</v>
      </c>
      <c r="K190" s="8">
        <v>46.1</v>
      </c>
      <c r="O190" s="14">
        <f t="shared" si="1"/>
        <v>381</v>
      </c>
      <c r="P190" s="14">
        <f t="shared" si="2"/>
        <v>193.31</v>
      </c>
    </row>
    <row r="191">
      <c r="B191" s="6" t="s">
        <v>227</v>
      </c>
      <c r="C191" s="6" t="s">
        <v>26</v>
      </c>
      <c r="D191" s="6" t="s">
        <v>21</v>
      </c>
      <c r="E191" s="6" t="s">
        <v>55</v>
      </c>
      <c r="F191" s="6" t="s">
        <v>28</v>
      </c>
      <c r="G191" s="6" t="s">
        <v>23</v>
      </c>
      <c r="H191" s="7">
        <v>45112.0</v>
      </c>
      <c r="I191" s="8">
        <v>297.0</v>
      </c>
      <c r="J191" s="8">
        <v>276.51</v>
      </c>
      <c r="K191" s="8">
        <v>240.22</v>
      </c>
      <c r="O191" s="14">
        <f t="shared" si="1"/>
        <v>297</v>
      </c>
      <c r="P191" s="14">
        <f t="shared" si="2"/>
        <v>276.51</v>
      </c>
    </row>
    <row r="192">
      <c r="B192" s="6" t="s">
        <v>228</v>
      </c>
      <c r="C192" s="6" t="s">
        <v>61</v>
      </c>
      <c r="D192" s="6" t="s">
        <v>63</v>
      </c>
      <c r="E192" s="6" t="s">
        <v>27</v>
      </c>
      <c r="F192" s="6" t="s">
        <v>28</v>
      </c>
      <c r="G192" s="6" t="s">
        <v>33</v>
      </c>
      <c r="H192" s="7">
        <v>45113.0</v>
      </c>
      <c r="I192" s="8">
        <v>139.0</v>
      </c>
      <c r="J192" s="8">
        <v>300.26</v>
      </c>
      <c r="K192" s="8">
        <v>39.81</v>
      </c>
      <c r="O192" s="14">
        <f t="shared" si="1"/>
        <v>139</v>
      </c>
      <c r="P192" s="14">
        <f t="shared" si="2"/>
        <v>300.26</v>
      </c>
    </row>
    <row r="193">
      <c r="B193" s="6" t="s">
        <v>229</v>
      </c>
      <c r="C193" s="6" t="s">
        <v>14</v>
      </c>
      <c r="D193" s="6" t="s">
        <v>15</v>
      </c>
      <c r="E193" s="6" t="s">
        <v>27</v>
      </c>
      <c r="F193" s="6" t="s">
        <v>17</v>
      </c>
      <c r="G193" s="6" t="s">
        <v>23</v>
      </c>
      <c r="H193" s="7">
        <v>45114.0</v>
      </c>
      <c r="I193" s="8">
        <v>184.0</v>
      </c>
      <c r="J193" s="8">
        <v>275.12</v>
      </c>
      <c r="K193" s="8">
        <v>151.65</v>
      </c>
      <c r="O193" s="14">
        <f t="shared" si="1"/>
        <v>184</v>
      </c>
      <c r="P193" s="14">
        <f t="shared" si="2"/>
        <v>275.12</v>
      </c>
    </row>
    <row r="194">
      <c r="B194" s="6" t="s">
        <v>230</v>
      </c>
      <c r="C194" s="6" t="s">
        <v>14</v>
      </c>
      <c r="D194" s="6" t="s">
        <v>63</v>
      </c>
      <c r="E194" s="6" t="s">
        <v>27</v>
      </c>
      <c r="F194" s="6" t="s">
        <v>17</v>
      </c>
      <c r="G194" s="6" t="s">
        <v>18</v>
      </c>
      <c r="H194" s="7">
        <v>45115.0</v>
      </c>
      <c r="I194" s="8">
        <v>471.0</v>
      </c>
      <c r="J194" s="8">
        <v>224.99</v>
      </c>
      <c r="K194" s="8">
        <v>220.94</v>
      </c>
      <c r="O194" s="14">
        <f t="shared" si="1"/>
        <v>471</v>
      </c>
      <c r="P194" s="14">
        <f t="shared" si="2"/>
        <v>224.99</v>
      </c>
    </row>
    <row r="195">
      <c r="B195" s="6" t="s">
        <v>231</v>
      </c>
      <c r="C195" s="6" t="s">
        <v>61</v>
      </c>
      <c r="D195" s="6" t="s">
        <v>21</v>
      </c>
      <c r="E195" s="6" t="s">
        <v>16</v>
      </c>
      <c r="F195" s="6" t="s">
        <v>28</v>
      </c>
      <c r="G195" s="6" t="s">
        <v>23</v>
      </c>
      <c r="H195" s="7">
        <v>45116.0</v>
      </c>
      <c r="I195" s="8">
        <v>93.0</v>
      </c>
      <c r="J195" s="8">
        <v>12.26</v>
      </c>
      <c r="K195" s="8">
        <v>156.68</v>
      </c>
      <c r="O195" s="14">
        <f t="shared" si="1"/>
        <v>93</v>
      </c>
      <c r="P195" s="14">
        <f t="shared" si="2"/>
        <v>12.26</v>
      </c>
    </row>
    <row r="196">
      <c r="B196" s="6" t="s">
        <v>232</v>
      </c>
      <c r="C196" s="6" t="s">
        <v>14</v>
      </c>
      <c r="D196" s="6" t="s">
        <v>15</v>
      </c>
      <c r="E196" s="6" t="s">
        <v>32</v>
      </c>
      <c r="F196" s="6" t="s">
        <v>17</v>
      </c>
      <c r="G196" s="6" t="s">
        <v>18</v>
      </c>
      <c r="H196" s="7">
        <v>45117.0</v>
      </c>
      <c r="I196" s="8">
        <v>31.0</v>
      </c>
      <c r="J196" s="8">
        <v>295.6</v>
      </c>
      <c r="K196" s="8">
        <v>67.15</v>
      </c>
      <c r="O196" s="14">
        <f t="shared" si="1"/>
        <v>31</v>
      </c>
      <c r="P196" s="14">
        <f t="shared" si="2"/>
        <v>295.6</v>
      </c>
    </row>
    <row r="197">
      <c r="B197" s="6" t="s">
        <v>233</v>
      </c>
      <c r="C197" s="6" t="s">
        <v>14</v>
      </c>
      <c r="D197" s="6" t="s">
        <v>63</v>
      </c>
      <c r="E197" s="6" t="s">
        <v>16</v>
      </c>
      <c r="F197" s="6" t="s">
        <v>17</v>
      </c>
      <c r="G197" s="6" t="s">
        <v>23</v>
      </c>
      <c r="H197" s="7">
        <v>45118.0</v>
      </c>
      <c r="I197" s="8">
        <v>468.0</v>
      </c>
      <c r="J197" s="8">
        <v>88.38</v>
      </c>
      <c r="K197" s="8">
        <v>110.97</v>
      </c>
      <c r="O197" s="14">
        <f t="shared" si="1"/>
        <v>468</v>
      </c>
      <c r="P197" s="14">
        <f t="shared" si="2"/>
        <v>88.38</v>
      </c>
    </row>
    <row r="198">
      <c r="B198" s="6" t="s">
        <v>234</v>
      </c>
      <c r="C198" s="6" t="s">
        <v>26</v>
      </c>
      <c r="D198" s="6" t="s">
        <v>15</v>
      </c>
      <c r="E198" s="6" t="s">
        <v>32</v>
      </c>
      <c r="F198" s="6" t="s">
        <v>17</v>
      </c>
      <c r="G198" s="6" t="s">
        <v>33</v>
      </c>
      <c r="H198" s="7">
        <v>45119.0</v>
      </c>
      <c r="I198" s="8">
        <v>36.0</v>
      </c>
      <c r="J198" s="8">
        <v>323.08</v>
      </c>
      <c r="K198" s="8">
        <v>371.47</v>
      </c>
      <c r="O198" s="14">
        <f t="shared" si="1"/>
        <v>36</v>
      </c>
      <c r="P198" s="14">
        <f t="shared" si="2"/>
        <v>323.08</v>
      </c>
    </row>
    <row r="199">
      <c r="B199" s="6" t="s">
        <v>235</v>
      </c>
      <c r="C199" s="6" t="s">
        <v>14</v>
      </c>
      <c r="D199" s="6" t="s">
        <v>31</v>
      </c>
      <c r="E199" s="6" t="s">
        <v>27</v>
      </c>
      <c r="F199" s="6" t="s">
        <v>28</v>
      </c>
      <c r="G199" s="6" t="s">
        <v>23</v>
      </c>
      <c r="H199" s="7">
        <v>45120.0</v>
      </c>
      <c r="I199" s="8">
        <v>204.0</v>
      </c>
      <c r="J199" s="8">
        <v>380.88</v>
      </c>
      <c r="K199" s="8">
        <v>271.04</v>
      </c>
      <c r="O199" s="14">
        <f t="shared" si="1"/>
        <v>204</v>
      </c>
      <c r="P199" s="14">
        <f t="shared" si="2"/>
        <v>380.88</v>
      </c>
    </row>
    <row r="200">
      <c r="B200" s="6" t="s">
        <v>236</v>
      </c>
      <c r="C200" s="6" t="s">
        <v>14</v>
      </c>
      <c r="D200" s="6" t="s">
        <v>31</v>
      </c>
      <c r="E200" s="6" t="s">
        <v>27</v>
      </c>
      <c r="F200" s="6" t="s">
        <v>17</v>
      </c>
      <c r="G200" s="6" t="s">
        <v>23</v>
      </c>
      <c r="H200" s="7">
        <v>45121.0</v>
      </c>
      <c r="I200" s="8">
        <v>346.0</v>
      </c>
      <c r="J200" s="8">
        <v>252.72</v>
      </c>
      <c r="K200" s="8">
        <v>199.43</v>
      </c>
      <c r="O200" s="14">
        <f t="shared" si="1"/>
        <v>346</v>
      </c>
      <c r="P200" s="14">
        <f t="shared" si="2"/>
        <v>252.72</v>
      </c>
    </row>
    <row r="201">
      <c r="B201" s="6" t="s">
        <v>237</v>
      </c>
      <c r="C201" s="6" t="s">
        <v>61</v>
      </c>
      <c r="D201" s="6" t="s">
        <v>63</v>
      </c>
      <c r="E201" s="6" t="s">
        <v>16</v>
      </c>
      <c r="F201" s="6" t="s">
        <v>28</v>
      </c>
      <c r="G201" s="6" t="s">
        <v>18</v>
      </c>
      <c r="H201" s="7">
        <v>45122.0</v>
      </c>
      <c r="I201" s="8">
        <v>391.0</v>
      </c>
      <c r="J201" s="8">
        <v>273.47</v>
      </c>
      <c r="K201" s="8">
        <v>7.06</v>
      </c>
      <c r="O201" s="14">
        <f t="shared" si="1"/>
        <v>391</v>
      </c>
      <c r="P201" s="14">
        <f t="shared" si="2"/>
        <v>273.47</v>
      </c>
    </row>
    <row r="202">
      <c r="B202" s="6" t="s">
        <v>238</v>
      </c>
      <c r="C202" s="6" t="s">
        <v>61</v>
      </c>
      <c r="D202" s="6" t="s">
        <v>15</v>
      </c>
      <c r="E202" s="6" t="s">
        <v>16</v>
      </c>
      <c r="F202" s="6" t="s">
        <v>17</v>
      </c>
      <c r="G202" s="6" t="s">
        <v>33</v>
      </c>
      <c r="H202" s="7">
        <v>45123.0</v>
      </c>
      <c r="I202" s="8">
        <v>245.0</v>
      </c>
      <c r="J202" s="8">
        <v>475.98</v>
      </c>
      <c r="K202" s="8">
        <v>396.98</v>
      </c>
      <c r="O202" s="14">
        <f t="shared" si="1"/>
        <v>245</v>
      </c>
      <c r="P202" s="14">
        <f t="shared" si="2"/>
        <v>475.98</v>
      </c>
    </row>
    <row r="203">
      <c r="B203" s="6" t="s">
        <v>239</v>
      </c>
      <c r="C203" s="6" t="s">
        <v>20</v>
      </c>
      <c r="D203" s="6" t="s">
        <v>21</v>
      </c>
      <c r="E203" s="6" t="s">
        <v>32</v>
      </c>
      <c r="F203" s="6" t="s">
        <v>28</v>
      </c>
      <c r="G203" s="6" t="s">
        <v>23</v>
      </c>
      <c r="H203" s="7">
        <v>45124.0</v>
      </c>
      <c r="I203" s="8">
        <v>449.0</v>
      </c>
      <c r="J203" s="8">
        <v>424.35</v>
      </c>
      <c r="K203" s="8">
        <v>269.24</v>
      </c>
      <c r="O203" s="14">
        <f t="shared" si="1"/>
        <v>449</v>
      </c>
      <c r="P203" s="14">
        <f t="shared" si="2"/>
        <v>424.35</v>
      </c>
    </row>
    <row r="204">
      <c r="B204" s="6" t="s">
        <v>240</v>
      </c>
      <c r="C204" s="6" t="s">
        <v>26</v>
      </c>
      <c r="D204" s="6" t="s">
        <v>63</v>
      </c>
      <c r="E204" s="6" t="s">
        <v>22</v>
      </c>
      <c r="F204" s="6" t="s">
        <v>28</v>
      </c>
      <c r="G204" s="6" t="s">
        <v>33</v>
      </c>
      <c r="H204" s="7">
        <v>45125.0</v>
      </c>
      <c r="I204" s="8">
        <v>101.0</v>
      </c>
      <c r="J204" s="8">
        <v>457.55</v>
      </c>
      <c r="K204" s="8">
        <v>128.14</v>
      </c>
      <c r="O204" s="14">
        <f t="shared" si="1"/>
        <v>101</v>
      </c>
      <c r="P204" s="14">
        <f t="shared" si="2"/>
        <v>457.55</v>
      </c>
    </row>
    <row r="205">
      <c r="B205" s="6" t="s">
        <v>241</v>
      </c>
      <c r="C205" s="6" t="s">
        <v>14</v>
      </c>
      <c r="D205" s="6" t="s">
        <v>31</v>
      </c>
      <c r="E205" s="6" t="s">
        <v>32</v>
      </c>
      <c r="F205" s="6" t="s">
        <v>17</v>
      </c>
      <c r="G205" s="6" t="s">
        <v>23</v>
      </c>
      <c r="H205" s="7">
        <v>45126.0</v>
      </c>
      <c r="I205" s="6"/>
      <c r="J205" s="8">
        <v>407.81</v>
      </c>
      <c r="K205" s="8">
        <v>351.95</v>
      </c>
      <c r="O205" s="14">
        <f t="shared" si="1"/>
        <v>49</v>
      </c>
      <c r="P205" s="14">
        <f t="shared" si="2"/>
        <v>407.81</v>
      </c>
    </row>
    <row r="206">
      <c r="B206" s="6" t="s">
        <v>242</v>
      </c>
      <c r="C206" s="6" t="s">
        <v>14</v>
      </c>
      <c r="D206" s="6" t="s">
        <v>31</v>
      </c>
      <c r="E206" s="6" t="s">
        <v>16</v>
      </c>
      <c r="F206" s="6" t="s">
        <v>28</v>
      </c>
      <c r="G206" s="6" t="s">
        <v>23</v>
      </c>
      <c r="H206" s="7">
        <v>45127.0</v>
      </c>
      <c r="I206" s="8">
        <v>30.0</v>
      </c>
      <c r="J206" s="8">
        <v>58.91</v>
      </c>
      <c r="K206" s="8">
        <v>104.86</v>
      </c>
      <c r="O206" s="14">
        <f t="shared" si="1"/>
        <v>30</v>
      </c>
      <c r="P206" s="14">
        <f t="shared" si="2"/>
        <v>58.91</v>
      </c>
    </row>
    <row r="207">
      <c r="B207" s="6" t="s">
        <v>243</v>
      </c>
      <c r="C207" s="6" t="s">
        <v>20</v>
      </c>
      <c r="D207" s="6" t="s">
        <v>63</v>
      </c>
      <c r="E207" s="6" t="s">
        <v>16</v>
      </c>
      <c r="F207" s="6" t="s">
        <v>17</v>
      </c>
      <c r="G207" s="6" t="s">
        <v>33</v>
      </c>
      <c r="H207" s="7">
        <v>45128.0</v>
      </c>
      <c r="I207" s="8">
        <v>312.0</v>
      </c>
      <c r="J207" s="8">
        <v>78.75</v>
      </c>
      <c r="K207" s="8">
        <v>218.52</v>
      </c>
      <c r="O207" s="14">
        <f t="shared" si="1"/>
        <v>312</v>
      </c>
      <c r="P207" s="14">
        <f t="shared" si="2"/>
        <v>78.75</v>
      </c>
    </row>
    <row r="208">
      <c r="B208" s="6" t="s">
        <v>244</v>
      </c>
      <c r="C208" s="6" t="s">
        <v>14</v>
      </c>
      <c r="D208" s="6" t="s">
        <v>15</v>
      </c>
      <c r="E208" s="6" t="s">
        <v>55</v>
      </c>
      <c r="F208" s="6" t="s">
        <v>28</v>
      </c>
      <c r="G208" s="6" t="s">
        <v>23</v>
      </c>
      <c r="H208" s="7">
        <v>45129.0</v>
      </c>
      <c r="I208" s="8">
        <v>473.0</v>
      </c>
      <c r="J208" s="8">
        <v>265.68</v>
      </c>
      <c r="K208" s="8">
        <v>255.16</v>
      </c>
      <c r="O208" s="14">
        <f t="shared" si="1"/>
        <v>473</v>
      </c>
      <c r="P208" s="14">
        <f t="shared" si="2"/>
        <v>265.68</v>
      </c>
    </row>
    <row r="209">
      <c r="B209" s="6" t="s">
        <v>245</v>
      </c>
      <c r="C209" s="6" t="s">
        <v>26</v>
      </c>
      <c r="D209" s="6" t="s">
        <v>31</v>
      </c>
      <c r="E209" s="6" t="s">
        <v>16</v>
      </c>
      <c r="F209" s="6" t="s">
        <v>17</v>
      </c>
      <c r="G209" s="6" t="s">
        <v>33</v>
      </c>
      <c r="H209" s="7">
        <v>45130.0</v>
      </c>
      <c r="I209" s="8">
        <v>366.0</v>
      </c>
      <c r="J209" s="8">
        <v>126.8</v>
      </c>
      <c r="K209" s="8">
        <v>89.98</v>
      </c>
      <c r="O209" s="14">
        <f t="shared" si="1"/>
        <v>366</v>
      </c>
      <c r="P209" s="14">
        <f t="shared" si="2"/>
        <v>126.8</v>
      </c>
    </row>
    <row r="210">
      <c r="B210" s="6" t="s">
        <v>246</v>
      </c>
      <c r="C210" s="6" t="s">
        <v>20</v>
      </c>
      <c r="D210" s="6" t="s">
        <v>15</v>
      </c>
      <c r="E210" s="6" t="s">
        <v>55</v>
      </c>
      <c r="F210" s="6" t="s">
        <v>17</v>
      </c>
      <c r="G210" s="6" t="s">
        <v>23</v>
      </c>
      <c r="H210" s="7">
        <v>45131.0</v>
      </c>
      <c r="I210" s="8">
        <v>452.0</v>
      </c>
      <c r="J210" s="8">
        <v>240.96</v>
      </c>
      <c r="K210" s="8">
        <v>391.4</v>
      </c>
      <c r="O210" s="14">
        <f t="shared" si="1"/>
        <v>452</v>
      </c>
      <c r="P210" s="14">
        <f t="shared" si="2"/>
        <v>240.96</v>
      </c>
    </row>
    <row r="211">
      <c r="B211" s="6" t="s">
        <v>247</v>
      </c>
      <c r="C211" s="6" t="s">
        <v>26</v>
      </c>
      <c r="D211" s="6" t="s">
        <v>31</v>
      </c>
      <c r="E211" s="6" t="s">
        <v>22</v>
      </c>
      <c r="F211" s="6" t="s">
        <v>28</v>
      </c>
      <c r="G211" s="6" t="s">
        <v>18</v>
      </c>
      <c r="H211" s="7">
        <v>45132.0</v>
      </c>
      <c r="I211" s="8">
        <v>93.0</v>
      </c>
      <c r="J211" s="8">
        <v>200.21</v>
      </c>
      <c r="K211" s="8">
        <v>299.78</v>
      </c>
      <c r="O211" s="14">
        <f t="shared" si="1"/>
        <v>93</v>
      </c>
      <c r="P211" s="14">
        <f t="shared" si="2"/>
        <v>200.21</v>
      </c>
    </row>
    <row r="212">
      <c r="B212" s="6" t="s">
        <v>248</v>
      </c>
      <c r="C212" s="6" t="s">
        <v>20</v>
      </c>
      <c r="D212" s="6" t="s">
        <v>31</v>
      </c>
      <c r="E212" s="6" t="s">
        <v>32</v>
      </c>
      <c r="F212" s="6" t="s">
        <v>17</v>
      </c>
      <c r="G212" s="6" t="s">
        <v>33</v>
      </c>
      <c r="H212" s="7">
        <v>45133.0</v>
      </c>
      <c r="I212" s="8">
        <v>271.0</v>
      </c>
      <c r="J212" s="8">
        <v>276.96</v>
      </c>
      <c r="K212" s="8">
        <v>224.01</v>
      </c>
      <c r="O212" s="14">
        <f t="shared" si="1"/>
        <v>271</v>
      </c>
      <c r="P212" s="14">
        <f t="shared" si="2"/>
        <v>276.96</v>
      </c>
    </row>
    <row r="213">
      <c r="B213" s="6" t="s">
        <v>249</v>
      </c>
      <c r="C213" s="6" t="s">
        <v>20</v>
      </c>
      <c r="D213" s="6" t="s">
        <v>39</v>
      </c>
      <c r="E213" s="6" t="s">
        <v>32</v>
      </c>
      <c r="F213" s="6" t="s">
        <v>17</v>
      </c>
      <c r="G213" s="6" t="s">
        <v>23</v>
      </c>
      <c r="H213" s="7">
        <v>45134.0</v>
      </c>
      <c r="I213" s="8">
        <v>156.0</v>
      </c>
      <c r="J213" s="8">
        <v>374.7</v>
      </c>
      <c r="K213" s="8">
        <v>73.88</v>
      </c>
      <c r="O213" s="14">
        <f t="shared" si="1"/>
        <v>156</v>
      </c>
      <c r="P213" s="14">
        <f t="shared" si="2"/>
        <v>374.7</v>
      </c>
    </row>
    <row r="214">
      <c r="B214" s="6" t="s">
        <v>250</v>
      </c>
      <c r="C214" s="6" t="s">
        <v>61</v>
      </c>
      <c r="D214" s="6" t="s">
        <v>31</v>
      </c>
      <c r="E214" s="6" t="s">
        <v>55</v>
      </c>
      <c r="F214" s="6" t="s">
        <v>28</v>
      </c>
      <c r="G214" s="6" t="s">
        <v>23</v>
      </c>
      <c r="H214" s="7">
        <v>45135.0</v>
      </c>
      <c r="I214" s="8">
        <v>450.0</v>
      </c>
      <c r="J214" s="8">
        <v>359.17</v>
      </c>
      <c r="K214" s="8">
        <v>23.44</v>
      </c>
      <c r="O214" s="14">
        <f t="shared" si="1"/>
        <v>450</v>
      </c>
      <c r="P214" s="14">
        <f t="shared" si="2"/>
        <v>359.17</v>
      </c>
    </row>
    <row r="215">
      <c r="B215" s="6" t="s">
        <v>251</v>
      </c>
      <c r="C215" s="6" t="s">
        <v>26</v>
      </c>
      <c r="D215" s="6" t="s">
        <v>21</v>
      </c>
      <c r="E215" s="6" t="s">
        <v>32</v>
      </c>
      <c r="F215" s="6" t="s">
        <v>17</v>
      </c>
      <c r="G215" s="6" t="s">
        <v>18</v>
      </c>
      <c r="H215" s="7">
        <v>45136.0</v>
      </c>
      <c r="I215" s="8">
        <v>462.0</v>
      </c>
      <c r="J215" s="8">
        <v>263.01</v>
      </c>
      <c r="K215" s="8">
        <v>129.38</v>
      </c>
      <c r="O215" s="14">
        <f t="shared" si="1"/>
        <v>462</v>
      </c>
      <c r="P215" s="14">
        <f t="shared" si="2"/>
        <v>263.01</v>
      </c>
    </row>
    <row r="216">
      <c r="B216" s="6" t="s">
        <v>252</v>
      </c>
      <c r="C216" s="6" t="s">
        <v>14</v>
      </c>
      <c r="D216" s="6" t="s">
        <v>63</v>
      </c>
      <c r="E216" s="6"/>
      <c r="F216" s="6" t="s">
        <v>17</v>
      </c>
      <c r="G216" s="6" t="s">
        <v>33</v>
      </c>
      <c r="H216" s="7">
        <v>45137.0</v>
      </c>
      <c r="I216" s="8">
        <v>396.0</v>
      </c>
      <c r="J216" s="8">
        <v>412.08</v>
      </c>
      <c r="K216" s="8">
        <v>301.77</v>
      </c>
      <c r="O216" s="14">
        <f t="shared" si="1"/>
        <v>396</v>
      </c>
      <c r="P216" s="14">
        <f t="shared" si="2"/>
        <v>412.08</v>
      </c>
    </row>
    <row r="217">
      <c r="B217" s="6" t="s">
        <v>253</v>
      </c>
      <c r="C217" s="6" t="s">
        <v>14</v>
      </c>
      <c r="D217" s="6" t="s">
        <v>63</v>
      </c>
      <c r="E217" s="6" t="s">
        <v>27</v>
      </c>
      <c r="F217" s="6" t="s">
        <v>28</v>
      </c>
      <c r="G217" s="6" t="s">
        <v>23</v>
      </c>
      <c r="H217" s="7">
        <v>45138.0</v>
      </c>
      <c r="I217" s="8">
        <v>266.0</v>
      </c>
      <c r="J217" s="8">
        <v>218.28</v>
      </c>
      <c r="K217" s="8">
        <v>109.19</v>
      </c>
      <c r="O217" s="14">
        <f t="shared" si="1"/>
        <v>266</v>
      </c>
      <c r="P217" s="14">
        <f t="shared" si="2"/>
        <v>218.28</v>
      </c>
    </row>
    <row r="218">
      <c r="B218" s="6" t="s">
        <v>254</v>
      </c>
      <c r="C218" s="6" t="s">
        <v>26</v>
      </c>
      <c r="D218" s="6" t="s">
        <v>15</v>
      </c>
      <c r="E218" s="6" t="s">
        <v>55</v>
      </c>
      <c r="F218" s="6" t="s">
        <v>28</v>
      </c>
      <c r="G218" s="6" t="s">
        <v>18</v>
      </c>
      <c r="H218" s="7">
        <v>45139.0</v>
      </c>
      <c r="I218" s="8">
        <v>67.0</v>
      </c>
      <c r="J218" s="8">
        <v>448.87</v>
      </c>
      <c r="K218" s="8">
        <v>216.74</v>
      </c>
      <c r="O218" s="14">
        <f t="shared" si="1"/>
        <v>67</v>
      </c>
      <c r="P218" s="14">
        <f t="shared" si="2"/>
        <v>448.87</v>
      </c>
    </row>
    <row r="219">
      <c r="B219" s="6" t="s">
        <v>255</v>
      </c>
      <c r="C219" s="6" t="s">
        <v>14</v>
      </c>
      <c r="D219" s="6" t="s">
        <v>31</v>
      </c>
      <c r="E219" s="6" t="s">
        <v>32</v>
      </c>
      <c r="F219" s="6" t="s">
        <v>17</v>
      </c>
      <c r="G219" s="6" t="s">
        <v>23</v>
      </c>
      <c r="H219" s="7">
        <v>45140.0</v>
      </c>
      <c r="I219" s="8">
        <v>389.0</v>
      </c>
      <c r="J219" s="8">
        <v>40.28</v>
      </c>
      <c r="K219" s="8">
        <v>291.72</v>
      </c>
      <c r="O219" s="14">
        <f t="shared" si="1"/>
        <v>389</v>
      </c>
      <c r="P219" s="14">
        <f t="shared" si="2"/>
        <v>40.28</v>
      </c>
    </row>
    <row r="220">
      <c r="B220" s="6" t="s">
        <v>256</v>
      </c>
      <c r="C220" s="6" t="s">
        <v>14</v>
      </c>
      <c r="D220" s="6" t="s">
        <v>21</v>
      </c>
      <c r="E220" s="6" t="s">
        <v>55</v>
      </c>
      <c r="F220" s="6" t="s">
        <v>17</v>
      </c>
      <c r="G220" s="6" t="s">
        <v>33</v>
      </c>
      <c r="H220" s="7">
        <v>45141.0</v>
      </c>
      <c r="I220" s="8">
        <v>431.0</v>
      </c>
      <c r="J220" s="8">
        <v>477.56</v>
      </c>
      <c r="K220" s="8">
        <v>44.96</v>
      </c>
      <c r="O220" s="14">
        <f t="shared" si="1"/>
        <v>431</v>
      </c>
      <c r="P220" s="14">
        <f t="shared" si="2"/>
        <v>477.56</v>
      </c>
    </row>
    <row r="221">
      <c r="B221" s="6" t="s">
        <v>257</v>
      </c>
      <c r="C221" s="6" t="s">
        <v>26</v>
      </c>
      <c r="D221" s="6" t="s">
        <v>15</v>
      </c>
      <c r="E221" s="6" t="s">
        <v>55</v>
      </c>
      <c r="F221" s="6" t="s">
        <v>28</v>
      </c>
      <c r="G221" s="6" t="s">
        <v>23</v>
      </c>
      <c r="H221" s="7">
        <v>45142.0</v>
      </c>
      <c r="I221" s="8">
        <v>24.0</v>
      </c>
      <c r="J221" s="8">
        <v>329.07</v>
      </c>
      <c r="K221" s="8">
        <v>274.75</v>
      </c>
      <c r="O221" s="14">
        <f t="shared" si="1"/>
        <v>24</v>
      </c>
      <c r="P221" s="14">
        <f t="shared" si="2"/>
        <v>329.07</v>
      </c>
    </row>
    <row r="222">
      <c r="B222" s="6" t="s">
        <v>258</v>
      </c>
      <c r="C222" s="6" t="s">
        <v>20</v>
      </c>
      <c r="D222" s="6" t="s">
        <v>39</v>
      </c>
      <c r="E222" s="6" t="s">
        <v>27</v>
      </c>
      <c r="F222" s="6" t="s">
        <v>28</v>
      </c>
      <c r="G222" s="6" t="s">
        <v>23</v>
      </c>
      <c r="H222" s="7">
        <v>45143.0</v>
      </c>
      <c r="I222" s="8">
        <v>171.0</v>
      </c>
      <c r="J222" s="8">
        <v>193.14</v>
      </c>
      <c r="K222" s="8">
        <v>38.56</v>
      </c>
      <c r="O222" s="14">
        <f t="shared" si="1"/>
        <v>171</v>
      </c>
      <c r="P222" s="14">
        <f t="shared" si="2"/>
        <v>193.14</v>
      </c>
    </row>
    <row r="223">
      <c r="B223" s="6" t="s">
        <v>259</v>
      </c>
      <c r="C223" s="6" t="s">
        <v>26</v>
      </c>
      <c r="D223" s="6" t="s">
        <v>15</v>
      </c>
      <c r="E223" s="6" t="s">
        <v>16</v>
      </c>
      <c r="F223" s="6" t="s">
        <v>17</v>
      </c>
      <c r="G223" s="6" t="s">
        <v>23</v>
      </c>
      <c r="H223" s="7">
        <v>45144.0</v>
      </c>
      <c r="I223" s="8">
        <v>454.0</v>
      </c>
      <c r="J223" s="8">
        <v>102.59</v>
      </c>
      <c r="K223" s="8">
        <v>386.12</v>
      </c>
      <c r="O223" s="14">
        <f t="shared" si="1"/>
        <v>454</v>
      </c>
      <c r="P223" s="14">
        <f t="shared" si="2"/>
        <v>102.59</v>
      </c>
    </row>
    <row r="224">
      <c r="B224" s="6" t="s">
        <v>260</v>
      </c>
      <c r="C224" s="6" t="s">
        <v>20</v>
      </c>
      <c r="D224" s="6" t="s">
        <v>15</v>
      </c>
      <c r="E224" s="6" t="s">
        <v>55</v>
      </c>
      <c r="F224" s="6" t="s">
        <v>28</v>
      </c>
      <c r="G224" s="6" t="s">
        <v>23</v>
      </c>
      <c r="H224" s="7">
        <v>45145.0</v>
      </c>
      <c r="I224" s="8">
        <v>172.0</v>
      </c>
      <c r="J224" s="8">
        <v>242.2</v>
      </c>
      <c r="K224" s="8">
        <v>196.38</v>
      </c>
      <c r="O224" s="14">
        <f t="shared" si="1"/>
        <v>172</v>
      </c>
      <c r="P224" s="14">
        <f t="shared" si="2"/>
        <v>242.2</v>
      </c>
    </row>
    <row r="225">
      <c r="B225" s="6" t="s">
        <v>261</v>
      </c>
      <c r="C225" s="6" t="s">
        <v>14</v>
      </c>
      <c r="D225" s="6" t="s">
        <v>31</v>
      </c>
      <c r="E225" s="6" t="s">
        <v>32</v>
      </c>
      <c r="F225" s="6" t="s">
        <v>17</v>
      </c>
      <c r="G225" s="6" t="s">
        <v>18</v>
      </c>
      <c r="H225" s="7">
        <v>45146.0</v>
      </c>
      <c r="I225" s="8">
        <v>329.0</v>
      </c>
      <c r="J225" s="8">
        <v>101.31</v>
      </c>
      <c r="K225" s="8">
        <v>61.97</v>
      </c>
      <c r="O225" s="14">
        <f t="shared" si="1"/>
        <v>329</v>
      </c>
      <c r="P225" s="14">
        <f t="shared" si="2"/>
        <v>101.31</v>
      </c>
    </row>
    <row r="226">
      <c r="B226" s="6" t="s">
        <v>262</v>
      </c>
      <c r="C226" s="6" t="s">
        <v>14</v>
      </c>
      <c r="D226" s="6" t="s">
        <v>39</v>
      </c>
      <c r="E226" s="6" t="s">
        <v>22</v>
      </c>
      <c r="F226" s="6" t="s">
        <v>17</v>
      </c>
      <c r="G226" s="6" t="s">
        <v>18</v>
      </c>
      <c r="H226" s="7">
        <v>45147.0</v>
      </c>
      <c r="I226" s="8">
        <v>290.0</v>
      </c>
      <c r="J226" s="8">
        <v>87.33</v>
      </c>
      <c r="K226" s="8">
        <v>138.27</v>
      </c>
      <c r="O226" s="14">
        <f t="shared" si="1"/>
        <v>290</v>
      </c>
      <c r="P226" s="14">
        <f t="shared" si="2"/>
        <v>87.33</v>
      </c>
    </row>
    <row r="227">
      <c r="B227" s="6" t="s">
        <v>263</v>
      </c>
      <c r="C227" s="6"/>
      <c r="D227" s="6" t="s">
        <v>15</v>
      </c>
      <c r="E227" s="6" t="s">
        <v>55</v>
      </c>
      <c r="F227" s="6" t="s">
        <v>17</v>
      </c>
      <c r="G227" s="6" t="s">
        <v>33</v>
      </c>
      <c r="H227" s="7">
        <v>45148.0</v>
      </c>
      <c r="I227" s="8">
        <v>289.0</v>
      </c>
      <c r="J227" s="8">
        <v>310.59</v>
      </c>
      <c r="K227" s="8">
        <v>166.54</v>
      </c>
      <c r="O227" s="14">
        <f t="shared" si="1"/>
        <v>289</v>
      </c>
      <c r="P227" s="14">
        <f t="shared" si="2"/>
        <v>310.59</v>
      </c>
    </row>
    <row r="228">
      <c r="B228" s="6" t="s">
        <v>264</v>
      </c>
      <c r="C228" s="6" t="s">
        <v>61</v>
      </c>
      <c r="D228" s="6" t="s">
        <v>21</v>
      </c>
      <c r="E228" s="6" t="s">
        <v>55</v>
      </c>
      <c r="F228" s="6" t="s">
        <v>17</v>
      </c>
      <c r="G228" s="6" t="s">
        <v>18</v>
      </c>
      <c r="H228" s="7">
        <v>45149.0</v>
      </c>
      <c r="I228" s="8">
        <v>21.0</v>
      </c>
      <c r="J228" s="8">
        <v>263.93</v>
      </c>
      <c r="K228" s="8">
        <v>303.76</v>
      </c>
      <c r="O228" s="14">
        <f t="shared" si="1"/>
        <v>21</v>
      </c>
      <c r="P228" s="14">
        <f t="shared" si="2"/>
        <v>263.93</v>
      </c>
    </row>
    <row r="229">
      <c r="B229" s="6" t="s">
        <v>265</v>
      </c>
      <c r="C229" s="6" t="s">
        <v>20</v>
      </c>
      <c r="D229" s="6" t="s">
        <v>21</v>
      </c>
      <c r="E229" s="6" t="s">
        <v>27</v>
      </c>
      <c r="F229" s="6" t="s">
        <v>17</v>
      </c>
      <c r="G229" s="6" t="s">
        <v>18</v>
      </c>
      <c r="H229" s="7">
        <v>45150.0</v>
      </c>
      <c r="I229" s="8">
        <v>283.0</v>
      </c>
      <c r="J229" s="8">
        <v>336.7</v>
      </c>
      <c r="K229" s="8">
        <v>297.88</v>
      </c>
      <c r="O229" s="14">
        <f t="shared" si="1"/>
        <v>283</v>
      </c>
      <c r="P229" s="14">
        <f t="shared" si="2"/>
        <v>336.7</v>
      </c>
    </row>
    <row r="230">
      <c r="B230" s="6" t="s">
        <v>266</v>
      </c>
      <c r="C230" s="6" t="s">
        <v>61</v>
      </c>
      <c r="D230" s="6" t="s">
        <v>63</v>
      </c>
      <c r="E230" s="6" t="s">
        <v>16</v>
      </c>
      <c r="F230" s="6" t="s">
        <v>28</v>
      </c>
      <c r="G230" s="6" t="s">
        <v>33</v>
      </c>
      <c r="H230" s="7">
        <v>45151.0</v>
      </c>
      <c r="I230" s="8">
        <v>280.0</v>
      </c>
      <c r="J230" s="8">
        <v>465.15</v>
      </c>
      <c r="K230" s="8">
        <v>245.55</v>
      </c>
      <c r="O230" s="14">
        <f t="shared" si="1"/>
        <v>280</v>
      </c>
      <c r="P230" s="14">
        <f t="shared" si="2"/>
        <v>465.15</v>
      </c>
    </row>
    <row r="231">
      <c r="B231" s="6" t="s">
        <v>267</v>
      </c>
      <c r="C231" s="6" t="s">
        <v>61</v>
      </c>
      <c r="D231" s="6" t="s">
        <v>39</v>
      </c>
      <c r="E231" s="6" t="s">
        <v>22</v>
      </c>
      <c r="F231" s="6" t="s">
        <v>28</v>
      </c>
      <c r="G231" s="6" t="s">
        <v>18</v>
      </c>
      <c r="H231" s="7">
        <v>45152.0</v>
      </c>
      <c r="I231" s="8">
        <v>217.0</v>
      </c>
      <c r="J231" s="8">
        <v>268.47</v>
      </c>
      <c r="K231" s="8">
        <v>44.16</v>
      </c>
      <c r="O231" s="14">
        <f t="shared" si="1"/>
        <v>217</v>
      </c>
      <c r="P231" s="14">
        <f t="shared" si="2"/>
        <v>268.47</v>
      </c>
    </row>
    <row r="232">
      <c r="B232" s="6" t="s">
        <v>268</v>
      </c>
      <c r="C232" s="6" t="s">
        <v>26</v>
      </c>
      <c r="D232" s="6" t="s">
        <v>39</v>
      </c>
      <c r="E232" s="6" t="s">
        <v>32</v>
      </c>
      <c r="F232" s="6" t="s">
        <v>28</v>
      </c>
      <c r="G232" s="6" t="s">
        <v>18</v>
      </c>
      <c r="H232" s="7">
        <v>45153.0</v>
      </c>
      <c r="I232" s="8">
        <v>36.0</v>
      </c>
      <c r="J232" s="8">
        <v>292.56</v>
      </c>
      <c r="K232" s="8">
        <v>62.32</v>
      </c>
      <c r="O232" s="14">
        <f t="shared" si="1"/>
        <v>36</v>
      </c>
      <c r="P232" s="14">
        <f t="shared" si="2"/>
        <v>292.56</v>
      </c>
    </row>
    <row r="233">
      <c r="B233" s="6" t="s">
        <v>269</v>
      </c>
      <c r="C233" s="6" t="s">
        <v>61</v>
      </c>
      <c r="D233" s="6" t="s">
        <v>63</v>
      </c>
      <c r="E233" s="6" t="s">
        <v>22</v>
      </c>
      <c r="F233" s="6" t="s">
        <v>28</v>
      </c>
      <c r="G233" s="6" t="s">
        <v>33</v>
      </c>
      <c r="H233" s="7">
        <v>45154.0</v>
      </c>
      <c r="I233" s="6"/>
      <c r="J233" s="8">
        <v>49.37</v>
      </c>
      <c r="K233" s="8">
        <v>39.32</v>
      </c>
      <c r="O233" s="14">
        <f t="shared" si="1"/>
        <v>49</v>
      </c>
      <c r="P233" s="14">
        <f t="shared" si="2"/>
        <v>49.37</v>
      </c>
    </row>
    <row r="234">
      <c r="B234" s="6" t="s">
        <v>270</v>
      </c>
      <c r="C234" s="6" t="s">
        <v>26</v>
      </c>
      <c r="D234" s="6" t="s">
        <v>15</v>
      </c>
      <c r="E234" s="6" t="s">
        <v>32</v>
      </c>
      <c r="F234" s="6" t="s">
        <v>17</v>
      </c>
      <c r="G234" s="6" t="s">
        <v>33</v>
      </c>
      <c r="H234" s="7">
        <v>45155.0</v>
      </c>
      <c r="I234" s="8">
        <v>69.0</v>
      </c>
      <c r="J234" s="8">
        <v>360.23</v>
      </c>
      <c r="K234" s="8">
        <v>231.71</v>
      </c>
      <c r="O234" s="14">
        <f t="shared" si="1"/>
        <v>69</v>
      </c>
      <c r="P234" s="14">
        <f t="shared" si="2"/>
        <v>360.23</v>
      </c>
    </row>
    <row r="235">
      <c r="B235" s="6" t="s">
        <v>271</v>
      </c>
      <c r="C235" s="6" t="s">
        <v>26</v>
      </c>
      <c r="D235" s="6" t="s">
        <v>39</v>
      </c>
      <c r="E235" s="6" t="s">
        <v>16</v>
      </c>
      <c r="F235" s="6" t="s">
        <v>17</v>
      </c>
      <c r="G235" s="6" t="s">
        <v>33</v>
      </c>
      <c r="H235" s="7">
        <v>45156.0</v>
      </c>
      <c r="I235" s="8">
        <v>439.0</v>
      </c>
      <c r="J235" s="8">
        <v>202.95</v>
      </c>
      <c r="K235" s="8">
        <v>351.1</v>
      </c>
      <c r="O235" s="14">
        <f t="shared" si="1"/>
        <v>439</v>
      </c>
      <c r="P235" s="14">
        <f t="shared" si="2"/>
        <v>202.95</v>
      </c>
    </row>
    <row r="236">
      <c r="B236" s="6" t="s">
        <v>272</v>
      </c>
      <c r="C236" s="6" t="s">
        <v>61</v>
      </c>
      <c r="D236" s="6" t="s">
        <v>21</v>
      </c>
      <c r="E236" s="6" t="s">
        <v>32</v>
      </c>
      <c r="F236" s="6" t="s">
        <v>17</v>
      </c>
      <c r="G236" s="6" t="s">
        <v>23</v>
      </c>
      <c r="H236" s="7">
        <v>45157.0</v>
      </c>
      <c r="I236" s="8">
        <v>482.0</v>
      </c>
      <c r="J236" s="8">
        <v>488.48</v>
      </c>
      <c r="K236" s="8">
        <v>174.65</v>
      </c>
      <c r="O236" s="14">
        <f t="shared" si="1"/>
        <v>482</v>
      </c>
      <c r="P236" s="14">
        <f t="shared" si="2"/>
        <v>488.48</v>
      </c>
    </row>
    <row r="237">
      <c r="B237" s="6" t="s">
        <v>273</v>
      </c>
      <c r="C237" s="6" t="s">
        <v>20</v>
      </c>
      <c r="D237" s="6" t="s">
        <v>21</v>
      </c>
      <c r="E237" s="6" t="s">
        <v>27</v>
      </c>
      <c r="F237" s="6" t="s">
        <v>17</v>
      </c>
      <c r="G237" s="6" t="s">
        <v>23</v>
      </c>
      <c r="H237" s="7">
        <v>45158.0</v>
      </c>
      <c r="I237" s="8">
        <v>154.0</v>
      </c>
      <c r="J237" s="8">
        <v>412.47</v>
      </c>
      <c r="K237" s="8">
        <v>66.02</v>
      </c>
      <c r="O237" s="14">
        <f t="shared" si="1"/>
        <v>154</v>
      </c>
      <c r="P237" s="14">
        <f t="shared" si="2"/>
        <v>412.47</v>
      </c>
    </row>
    <row r="238">
      <c r="B238" s="6" t="s">
        <v>274</v>
      </c>
      <c r="C238" s="6" t="s">
        <v>20</v>
      </c>
      <c r="D238" s="6" t="s">
        <v>31</v>
      </c>
      <c r="E238" s="6" t="s">
        <v>27</v>
      </c>
      <c r="F238" s="6" t="s">
        <v>28</v>
      </c>
      <c r="G238" s="6" t="s">
        <v>33</v>
      </c>
      <c r="H238" s="7">
        <v>45159.0</v>
      </c>
      <c r="I238" s="8">
        <v>102.0</v>
      </c>
      <c r="J238" s="8">
        <v>263.63</v>
      </c>
      <c r="K238" s="8">
        <v>224.1</v>
      </c>
      <c r="O238" s="14">
        <f t="shared" si="1"/>
        <v>102</v>
      </c>
      <c r="P238" s="14">
        <f t="shared" si="2"/>
        <v>263.63</v>
      </c>
    </row>
    <row r="239">
      <c r="B239" s="6" t="s">
        <v>275</v>
      </c>
      <c r="C239" s="6" t="s">
        <v>20</v>
      </c>
      <c r="D239" s="6" t="s">
        <v>39</v>
      </c>
      <c r="E239" s="6" t="s">
        <v>27</v>
      </c>
      <c r="F239" s="6" t="s">
        <v>17</v>
      </c>
      <c r="G239" s="6" t="s">
        <v>33</v>
      </c>
      <c r="H239" s="7">
        <v>45160.0</v>
      </c>
      <c r="I239" s="8">
        <v>318.0</v>
      </c>
      <c r="J239" s="8">
        <v>66.0</v>
      </c>
      <c r="K239" s="8">
        <v>325.08</v>
      </c>
      <c r="O239" s="14">
        <f t="shared" si="1"/>
        <v>318</v>
      </c>
      <c r="P239" s="14">
        <f t="shared" si="2"/>
        <v>66</v>
      </c>
    </row>
    <row r="240">
      <c r="B240" s="6" t="s">
        <v>276</v>
      </c>
      <c r="C240" s="6" t="s">
        <v>20</v>
      </c>
      <c r="D240" s="6" t="s">
        <v>15</v>
      </c>
      <c r="E240" s="6" t="s">
        <v>27</v>
      </c>
      <c r="F240" s="6" t="s">
        <v>17</v>
      </c>
      <c r="G240" s="6" t="s">
        <v>33</v>
      </c>
      <c r="H240" s="7">
        <v>45161.0</v>
      </c>
      <c r="I240" s="8">
        <v>17.0</v>
      </c>
      <c r="J240" s="8">
        <v>430.41</v>
      </c>
      <c r="K240" s="8">
        <v>297.2</v>
      </c>
      <c r="O240" s="14">
        <f t="shared" si="1"/>
        <v>17</v>
      </c>
      <c r="P240" s="14">
        <f t="shared" si="2"/>
        <v>430.41</v>
      </c>
    </row>
    <row r="241">
      <c r="B241" s="6" t="s">
        <v>277</v>
      </c>
      <c r="C241" s="6" t="s">
        <v>20</v>
      </c>
      <c r="D241" s="6" t="s">
        <v>63</v>
      </c>
      <c r="E241" s="6" t="s">
        <v>22</v>
      </c>
      <c r="F241" s="6" t="s">
        <v>28</v>
      </c>
      <c r="G241" s="6" t="s">
        <v>23</v>
      </c>
      <c r="H241" s="7">
        <v>45162.0</v>
      </c>
      <c r="I241" s="8">
        <v>88.0</v>
      </c>
      <c r="J241" s="8">
        <v>400.89</v>
      </c>
      <c r="K241" s="8">
        <v>352.82</v>
      </c>
      <c r="O241" s="14">
        <f t="shared" si="1"/>
        <v>88</v>
      </c>
      <c r="P241" s="14">
        <f t="shared" si="2"/>
        <v>400.89</v>
      </c>
    </row>
    <row r="242">
      <c r="B242" s="6" t="s">
        <v>278</v>
      </c>
      <c r="C242" s="6" t="s">
        <v>61</v>
      </c>
      <c r="D242" s="6" t="s">
        <v>63</v>
      </c>
      <c r="E242" s="6" t="s">
        <v>16</v>
      </c>
      <c r="F242" s="6" t="s">
        <v>28</v>
      </c>
      <c r="G242" s="6" t="s">
        <v>23</v>
      </c>
      <c r="H242" s="7">
        <v>45163.0</v>
      </c>
      <c r="I242" s="8">
        <v>36.0</v>
      </c>
      <c r="J242" s="8">
        <v>96.37</v>
      </c>
      <c r="K242" s="8">
        <v>112.61</v>
      </c>
      <c r="O242" s="14">
        <f t="shared" si="1"/>
        <v>36</v>
      </c>
      <c r="P242" s="14">
        <f t="shared" si="2"/>
        <v>96.37</v>
      </c>
    </row>
    <row r="243">
      <c r="B243" s="6" t="s">
        <v>279</v>
      </c>
      <c r="C243" s="6" t="s">
        <v>61</v>
      </c>
      <c r="D243" s="6" t="s">
        <v>15</v>
      </c>
      <c r="E243" s="6" t="s">
        <v>32</v>
      </c>
      <c r="F243" s="6" t="s">
        <v>28</v>
      </c>
      <c r="G243" s="6" t="s">
        <v>18</v>
      </c>
      <c r="H243" s="7">
        <v>45164.0</v>
      </c>
      <c r="I243" s="8">
        <v>183.0</v>
      </c>
      <c r="J243" s="8">
        <v>151.16</v>
      </c>
      <c r="K243" s="8">
        <v>79.19</v>
      </c>
      <c r="O243" s="14">
        <f t="shared" si="1"/>
        <v>183</v>
      </c>
      <c r="P243" s="14">
        <f t="shared" si="2"/>
        <v>151.16</v>
      </c>
    </row>
    <row r="244">
      <c r="B244" s="6" t="s">
        <v>280</v>
      </c>
      <c r="C244" s="6" t="s">
        <v>14</v>
      </c>
      <c r="D244" s="6" t="s">
        <v>31</v>
      </c>
      <c r="E244" s="6" t="s">
        <v>32</v>
      </c>
      <c r="F244" s="6" t="s">
        <v>28</v>
      </c>
      <c r="G244" s="6" t="s">
        <v>18</v>
      </c>
      <c r="H244" s="7">
        <v>45165.0</v>
      </c>
      <c r="I244" s="8">
        <v>59.0</v>
      </c>
      <c r="J244" s="8">
        <v>397.74</v>
      </c>
      <c r="K244" s="8">
        <v>352.17</v>
      </c>
      <c r="O244" s="14">
        <f t="shared" si="1"/>
        <v>59</v>
      </c>
      <c r="P244" s="14">
        <f t="shared" si="2"/>
        <v>397.74</v>
      </c>
    </row>
    <row r="245">
      <c r="B245" s="6" t="s">
        <v>281</v>
      </c>
      <c r="C245" s="6" t="s">
        <v>20</v>
      </c>
      <c r="D245" s="6" t="s">
        <v>63</v>
      </c>
      <c r="E245" s="6" t="s">
        <v>27</v>
      </c>
      <c r="F245" s="6" t="s">
        <v>17</v>
      </c>
      <c r="G245" s="6" t="s">
        <v>33</v>
      </c>
      <c r="H245" s="7">
        <v>45166.0</v>
      </c>
      <c r="I245" s="8">
        <v>208.0</v>
      </c>
      <c r="J245" s="8">
        <v>96.69</v>
      </c>
      <c r="K245" s="8">
        <v>263.71</v>
      </c>
      <c r="O245" s="14">
        <f t="shared" si="1"/>
        <v>208</v>
      </c>
      <c r="P245" s="14">
        <f t="shared" si="2"/>
        <v>96.69</v>
      </c>
    </row>
    <row r="246">
      <c r="B246" s="6" t="s">
        <v>282</v>
      </c>
      <c r="C246" s="6" t="s">
        <v>61</v>
      </c>
      <c r="D246" s="6" t="s">
        <v>39</v>
      </c>
      <c r="E246" s="6" t="s">
        <v>27</v>
      </c>
      <c r="F246" s="6" t="s">
        <v>17</v>
      </c>
      <c r="G246" s="6" t="s">
        <v>23</v>
      </c>
      <c r="H246" s="7">
        <v>45167.0</v>
      </c>
      <c r="I246" s="8">
        <v>396.0</v>
      </c>
      <c r="J246" s="8">
        <v>459.29</v>
      </c>
      <c r="K246" s="8">
        <v>125.75</v>
      </c>
      <c r="O246" s="14">
        <f t="shared" si="1"/>
        <v>396</v>
      </c>
      <c r="P246" s="14">
        <f t="shared" si="2"/>
        <v>459.29</v>
      </c>
    </row>
    <row r="247">
      <c r="B247" s="6" t="s">
        <v>283</v>
      </c>
      <c r="C247" s="6" t="s">
        <v>14</v>
      </c>
      <c r="D247" s="6" t="s">
        <v>31</v>
      </c>
      <c r="E247" s="6" t="s">
        <v>55</v>
      </c>
      <c r="F247" s="6" t="s">
        <v>28</v>
      </c>
      <c r="G247" s="6" t="s">
        <v>23</v>
      </c>
      <c r="H247" s="7">
        <v>45168.0</v>
      </c>
      <c r="I247" s="8">
        <v>358.0</v>
      </c>
      <c r="J247" s="8">
        <v>215.14</v>
      </c>
      <c r="K247" s="8">
        <v>297.45</v>
      </c>
      <c r="O247" s="14">
        <f t="shared" si="1"/>
        <v>358</v>
      </c>
      <c r="P247" s="14">
        <f t="shared" si="2"/>
        <v>215.14</v>
      </c>
    </row>
    <row r="248">
      <c r="B248" s="6" t="s">
        <v>284</v>
      </c>
      <c r="C248" s="6" t="s">
        <v>20</v>
      </c>
      <c r="D248" s="6" t="s">
        <v>39</v>
      </c>
      <c r="E248" s="6" t="s">
        <v>16</v>
      </c>
      <c r="F248" s="6" t="s">
        <v>17</v>
      </c>
      <c r="G248" s="6" t="s">
        <v>23</v>
      </c>
      <c r="H248" s="7">
        <v>45169.0</v>
      </c>
      <c r="I248" s="8">
        <v>457.0</v>
      </c>
      <c r="J248" s="8">
        <v>48.08</v>
      </c>
      <c r="K248" s="8">
        <v>326.42</v>
      </c>
      <c r="O248" s="14">
        <f t="shared" si="1"/>
        <v>457</v>
      </c>
      <c r="P248" s="14">
        <f t="shared" si="2"/>
        <v>48.08</v>
      </c>
    </row>
    <row r="249">
      <c r="B249" s="6" t="s">
        <v>285</v>
      </c>
      <c r="C249" s="6" t="s">
        <v>26</v>
      </c>
      <c r="D249" s="6" t="s">
        <v>21</v>
      </c>
      <c r="E249" s="6" t="s">
        <v>22</v>
      </c>
      <c r="F249" s="6" t="s">
        <v>17</v>
      </c>
      <c r="G249" s="6" t="s">
        <v>33</v>
      </c>
      <c r="H249" s="7">
        <v>45170.0</v>
      </c>
      <c r="I249" s="8">
        <v>437.0</v>
      </c>
      <c r="J249" s="8">
        <v>408.8</v>
      </c>
      <c r="K249" s="8">
        <v>246.76</v>
      </c>
      <c r="O249" s="14">
        <f t="shared" si="1"/>
        <v>437</v>
      </c>
      <c r="P249" s="14">
        <f t="shared" si="2"/>
        <v>408.8</v>
      </c>
    </row>
    <row r="250">
      <c r="B250" s="6" t="s">
        <v>286</v>
      </c>
      <c r="C250" s="6" t="s">
        <v>14</v>
      </c>
      <c r="D250" s="6" t="s">
        <v>31</v>
      </c>
      <c r="E250" s="6" t="s">
        <v>32</v>
      </c>
      <c r="F250" s="6" t="s">
        <v>17</v>
      </c>
      <c r="G250" s="6" t="s">
        <v>18</v>
      </c>
      <c r="H250" s="7">
        <v>45171.0</v>
      </c>
      <c r="I250" s="8">
        <v>190.0</v>
      </c>
      <c r="J250" s="8">
        <v>189.89</v>
      </c>
      <c r="K250" s="8">
        <v>275.78</v>
      </c>
      <c r="O250" s="14">
        <f t="shared" si="1"/>
        <v>190</v>
      </c>
      <c r="P250" s="14">
        <f t="shared" si="2"/>
        <v>189.89</v>
      </c>
    </row>
    <row r="251">
      <c r="B251" s="6" t="s">
        <v>287</v>
      </c>
      <c r="C251" s="6" t="s">
        <v>61</v>
      </c>
      <c r="D251" s="6" t="s">
        <v>63</v>
      </c>
      <c r="E251" s="6" t="s">
        <v>55</v>
      </c>
      <c r="F251" s="6" t="s">
        <v>28</v>
      </c>
      <c r="G251" s="6" t="s">
        <v>33</v>
      </c>
      <c r="H251" s="7">
        <v>45172.0</v>
      </c>
      <c r="I251" s="8">
        <v>33.0</v>
      </c>
      <c r="J251" s="8">
        <v>265.62</v>
      </c>
      <c r="K251" s="8">
        <v>151.35</v>
      </c>
      <c r="O251" s="14">
        <f t="shared" si="1"/>
        <v>33</v>
      </c>
      <c r="P251" s="14">
        <f t="shared" si="2"/>
        <v>265.62</v>
      </c>
    </row>
    <row r="252">
      <c r="B252" s="6" t="s">
        <v>288</v>
      </c>
      <c r="C252" s="6" t="s">
        <v>26</v>
      </c>
      <c r="D252" s="6" t="s">
        <v>31</v>
      </c>
      <c r="E252" s="6" t="s">
        <v>55</v>
      </c>
      <c r="F252" s="6" t="s">
        <v>17</v>
      </c>
      <c r="G252" s="6" t="s">
        <v>18</v>
      </c>
      <c r="H252" s="7">
        <v>45173.0</v>
      </c>
      <c r="I252" s="8">
        <v>325.0</v>
      </c>
      <c r="J252" s="8">
        <v>60.59</v>
      </c>
      <c r="K252" s="8">
        <v>216.4</v>
      </c>
      <c r="O252" s="14">
        <f t="shared" si="1"/>
        <v>325</v>
      </c>
      <c r="P252" s="14">
        <f t="shared" si="2"/>
        <v>60.59</v>
      </c>
    </row>
    <row r="253">
      <c r="B253" s="6" t="s">
        <v>289</v>
      </c>
      <c r="C253" s="6" t="s">
        <v>26</v>
      </c>
      <c r="D253" s="6" t="s">
        <v>31</v>
      </c>
      <c r="E253" s="6" t="s">
        <v>32</v>
      </c>
      <c r="F253" s="6" t="s">
        <v>28</v>
      </c>
      <c r="G253" s="6" t="s">
        <v>18</v>
      </c>
      <c r="H253" s="7">
        <v>45174.0</v>
      </c>
      <c r="I253" s="8">
        <v>387.0</v>
      </c>
      <c r="J253" s="8">
        <v>6.28</v>
      </c>
      <c r="K253" s="8">
        <v>210.62</v>
      </c>
      <c r="O253" s="14">
        <f t="shared" si="1"/>
        <v>387</v>
      </c>
      <c r="P253" s="14">
        <f t="shared" si="2"/>
        <v>6.28</v>
      </c>
    </row>
    <row r="254">
      <c r="B254" s="6" t="s">
        <v>290</v>
      </c>
      <c r="C254" s="6" t="s">
        <v>26</v>
      </c>
      <c r="D254" s="6" t="s">
        <v>31</v>
      </c>
      <c r="E254" s="6" t="s">
        <v>22</v>
      </c>
      <c r="F254" s="6" t="s">
        <v>17</v>
      </c>
      <c r="G254" s="6" t="s">
        <v>33</v>
      </c>
      <c r="H254" s="7">
        <v>45175.0</v>
      </c>
      <c r="I254" s="8">
        <v>396.0</v>
      </c>
      <c r="J254" s="8">
        <v>320.8</v>
      </c>
      <c r="K254" s="8">
        <v>339.52</v>
      </c>
      <c r="O254" s="14">
        <f t="shared" si="1"/>
        <v>396</v>
      </c>
      <c r="P254" s="14">
        <f t="shared" si="2"/>
        <v>320.8</v>
      </c>
    </row>
    <row r="255">
      <c r="B255" s="6" t="s">
        <v>291</v>
      </c>
      <c r="C255" s="6" t="s">
        <v>14</v>
      </c>
      <c r="D255" s="6" t="s">
        <v>31</v>
      </c>
      <c r="E255" s="6" t="s">
        <v>55</v>
      </c>
      <c r="F255" s="6" t="s">
        <v>17</v>
      </c>
      <c r="G255" s="6" t="s">
        <v>18</v>
      </c>
      <c r="H255" s="7">
        <v>45176.0</v>
      </c>
      <c r="I255" s="8">
        <v>413.0</v>
      </c>
      <c r="J255" s="8">
        <v>260.01</v>
      </c>
      <c r="K255" s="8">
        <v>336.31</v>
      </c>
      <c r="O255" s="14">
        <f t="shared" si="1"/>
        <v>413</v>
      </c>
      <c r="P255" s="14">
        <f t="shared" si="2"/>
        <v>260.01</v>
      </c>
    </row>
    <row r="256">
      <c r="B256" s="6" t="s">
        <v>292</v>
      </c>
      <c r="C256" s="6" t="s">
        <v>61</v>
      </c>
      <c r="D256" s="6" t="s">
        <v>39</v>
      </c>
      <c r="E256" s="6" t="s">
        <v>55</v>
      </c>
      <c r="F256" s="6" t="s">
        <v>17</v>
      </c>
      <c r="G256" s="6" t="s">
        <v>18</v>
      </c>
      <c r="H256" s="7">
        <v>45177.0</v>
      </c>
      <c r="I256" s="6"/>
      <c r="J256" s="8">
        <v>298.8</v>
      </c>
      <c r="K256" s="8">
        <v>333.41</v>
      </c>
      <c r="O256" s="14">
        <f t="shared" si="1"/>
        <v>49</v>
      </c>
      <c r="P256" s="14">
        <f t="shared" si="2"/>
        <v>298.8</v>
      </c>
    </row>
    <row r="257">
      <c r="B257" s="6" t="s">
        <v>293</v>
      </c>
      <c r="C257" s="6" t="s">
        <v>26</v>
      </c>
      <c r="D257" s="6" t="s">
        <v>21</v>
      </c>
      <c r="E257" s="6" t="s">
        <v>16</v>
      </c>
      <c r="F257" s="6" t="s">
        <v>28</v>
      </c>
      <c r="G257" s="6" t="s">
        <v>23</v>
      </c>
      <c r="H257" s="7">
        <v>45178.0</v>
      </c>
      <c r="I257" s="8">
        <v>24.0</v>
      </c>
      <c r="J257" s="8">
        <v>397.9</v>
      </c>
      <c r="K257" s="8">
        <v>6.39</v>
      </c>
      <c r="O257" s="14">
        <f t="shared" si="1"/>
        <v>24</v>
      </c>
      <c r="P257" s="14">
        <f t="shared" si="2"/>
        <v>397.9</v>
      </c>
    </row>
    <row r="258">
      <c r="B258" s="6" t="s">
        <v>294</v>
      </c>
      <c r="C258" s="6" t="s">
        <v>20</v>
      </c>
      <c r="D258" s="6" t="s">
        <v>15</v>
      </c>
      <c r="E258" s="6"/>
      <c r="F258" s="6" t="s">
        <v>17</v>
      </c>
      <c r="G258" s="6" t="s">
        <v>18</v>
      </c>
      <c r="H258" s="7">
        <v>45179.0</v>
      </c>
      <c r="I258" s="8">
        <v>162.0</v>
      </c>
      <c r="J258" s="8">
        <v>325.07</v>
      </c>
      <c r="K258" s="8">
        <v>300.32</v>
      </c>
      <c r="O258" s="14">
        <f t="shared" si="1"/>
        <v>162</v>
      </c>
      <c r="P258" s="14">
        <f t="shared" si="2"/>
        <v>325.07</v>
      </c>
    </row>
    <row r="259">
      <c r="B259" s="6" t="s">
        <v>295</v>
      </c>
      <c r="C259" s="6" t="s">
        <v>26</v>
      </c>
      <c r="D259" s="6" t="s">
        <v>31</v>
      </c>
      <c r="E259" s="6" t="s">
        <v>55</v>
      </c>
      <c r="F259" s="6" t="s">
        <v>28</v>
      </c>
      <c r="G259" s="6" t="s">
        <v>33</v>
      </c>
      <c r="H259" s="7">
        <v>45180.0</v>
      </c>
      <c r="I259" s="8">
        <v>231.0</v>
      </c>
      <c r="J259" s="8">
        <v>91.51</v>
      </c>
      <c r="K259" s="8">
        <v>303.95</v>
      </c>
      <c r="O259" s="14">
        <f t="shared" si="1"/>
        <v>231</v>
      </c>
      <c r="P259" s="14">
        <f t="shared" si="2"/>
        <v>91.51</v>
      </c>
    </row>
    <row r="260">
      <c r="B260" s="6" t="s">
        <v>296</v>
      </c>
      <c r="C260" s="6" t="s">
        <v>26</v>
      </c>
      <c r="D260" s="6" t="s">
        <v>63</v>
      </c>
      <c r="E260" s="6" t="s">
        <v>22</v>
      </c>
      <c r="F260" s="6" t="s">
        <v>28</v>
      </c>
      <c r="G260" s="6" t="s">
        <v>33</v>
      </c>
      <c r="H260" s="7">
        <v>45181.0</v>
      </c>
      <c r="I260" s="8">
        <v>215.0</v>
      </c>
      <c r="J260" s="8">
        <v>183.58</v>
      </c>
      <c r="K260" s="8">
        <v>271.99</v>
      </c>
      <c r="O260" s="14">
        <f t="shared" si="1"/>
        <v>215</v>
      </c>
      <c r="P260" s="14">
        <f t="shared" si="2"/>
        <v>183.58</v>
      </c>
    </row>
    <row r="261">
      <c r="B261" s="6" t="s">
        <v>297</v>
      </c>
      <c r="C261" s="6" t="s">
        <v>14</v>
      </c>
      <c r="D261" s="6" t="s">
        <v>31</v>
      </c>
      <c r="E261" s="6" t="s">
        <v>32</v>
      </c>
      <c r="F261" s="6" t="s">
        <v>28</v>
      </c>
      <c r="G261" s="6" t="s">
        <v>18</v>
      </c>
      <c r="H261" s="7">
        <v>45182.0</v>
      </c>
      <c r="I261" s="8">
        <v>464.0</v>
      </c>
      <c r="J261" s="8">
        <v>453.42</v>
      </c>
      <c r="K261" s="8">
        <v>302.99</v>
      </c>
      <c r="O261" s="14">
        <f t="shared" si="1"/>
        <v>464</v>
      </c>
      <c r="P261" s="14">
        <f t="shared" si="2"/>
        <v>453.42</v>
      </c>
    </row>
    <row r="262">
      <c r="B262" s="6" t="s">
        <v>298</v>
      </c>
      <c r="C262" s="6" t="s">
        <v>14</v>
      </c>
      <c r="D262" s="6" t="s">
        <v>63</v>
      </c>
      <c r="E262" s="6" t="s">
        <v>27</v>
      </c>
      <c r="F262" s="6" t="s">
        <v>17</v>
      </c>
      <c r="G262" s="6" t="s">
        <v>23</v>
      </c>
      <c r="H262" s="7">
        <v>45183.0</v>
      </c>
      <c r="I262" s="8">
        <v>282.0</v>
      </c>
      <c r="J262" s="6"/>
      <c r="K262" s="8">
        <v>337.1</v>
      </c>
      <c r="O262" s="14">
        <f t="shared" si="1"/>
        <v>282</v>
      </c>
      <c r="P262" s="14">
        <f t="shared" si="2"/>
        <v>249.6452059</v>
      </c>
    </row>
    <row r="263">
      <c r="B263" s="6" t="s">
        <v>299</v>
      </c>
      <c r="C263" s="6" t="s">
        <v>61</v>
      </c>
      <c r="D263" s="6" t="s">
        <v>39</v>
      </c>
      <c r="E263" s="6" t="s">
        <v>55</v>
      </c>
      <c r="F263" s="6" t="s">
        <v>17</v>
      </c>
      <c r="G263" s="6" t="s">
        <v>23</v>
      </c>
      <c r="H263" s="7">
        <v>45184.0</v>
      </c>
      <c r="I263" s="8">
        <v>391.0</v>
      </c>
      <c r="J263" s="8">
        <v>280.54</v>
      </c>
      <c r="K263" s="8">
        <v>189.19</v>
      </c>
      <c r="O263" s="14">
        <f t="shared" si="1"/>
        <v>391</v>
      </c>
      <c r="P263" s="14">
        <f t="shared" si="2"/>
        <v>280.54</v>
      </c>
    </row>
    <row r="264">
      <c r="B264" s="6" t="s">
        <v>300</v>
      </c>
      <c r="C264" s="6" t="s">
        <v>20</v>
      </c>
      <c r="D264" s="6" t="s">
        <v>63</v>
      </c>
      <c r="E264" s="6" t="s">
        <v>16</v>
      </c>
      <c r="F264" s="6" t="s">
        <v>17</v>
      </c>
      <c r="G264" s="6" t="s">
        <v>18</v>
      </c>
      <c r="H264" s="7">
        <v>45185.0</v>
      </c>
      <c r="I264" s="8">
        <v>245.0</v>
      </c>
      <c r="J264" s="8">
        <v>131.54</v>
      </c>
      <c r="K264" s="8">
        <v>201.82</v>
      </c>
      <c r="O264" s="14">
        <f t="shared" si="1"/>
        <v>245</v>
      </c>
      <c r="P264" s="14">
        <f t="shared" si="2"/>
        <v>131.54</v>
      </c>
    </row>
    <row r="265">
      <c r="B265" s="6" t="s">
        <v>301</v>
      </c>
      <c r="C265" s="6" t="s">
        <v>14</v>
      </c>
      <c r="D265" s="6" t="s">
        <v>15</v>
      </c>
      <c r="E265" s="6" t="s">
        <v>32</v>
      </c>
      <c r="F265" s="6" t="s">
        <v>17</v>
      </c>
      <c r="G265" s="6" t="s">
        <v>18</v>
      </c>
      <c r="H265" s="7">
        <v>45186.0</v>
      </c>
      <c r="I265" s="8">
        <v>349.0</v>
      </c>
      <c r="J265" s="8">
        <v>154.52</v>
      </c>
      <c r="K265" s="8">
        <v>51.64</v>
      </c>
      <c r="O265" s="14">
        <f t="shared" si="1"/>
        <v>349</v>
      </c>
      <c r="P265" s="14">
        <f t="shared" si="2"/>
        <v>154.52</v>
      </c>
    </row>
    <row r="266">
      <c r="B266" s="6" t="s">
        <v>302</v>
      </c>
      <c r="C266" s="6" t="s">
        <v>26</v>
      </c>
      <c r="D266" s="6" t="s">
        <v>21</v>
      </c>
      <c r="E266" s="6" t="s">
        <v>22</v>
      </c>
      <c r="F266" s="6" t="s">
        <v>28</v>
      </c>
      <c r="G266" s="6" t="s">
        <v>33</v>
      </c>
      <c r="H266" s="7">
        <v>45187.0</v>
      </c>
      <c r="I266" s="8">
        <v>237.0</v>
      </c>
      <c r="J266" s="6"/>
      <c r="K266" s="8">
        <v>155.38</v>
      </c>
      <c r="O266" s="14">
        <f t="shared" si="1"/>
        <v>237</v>
      </c>
      <c r="P266" s="14">
        <f t="shared" si="2"/>
        <v>249.6452059</v>
      </c>
    </row>
    <row r="267">
      <c r="B267" s="6" t="s">
        <v>303</v>
      </c>
      <c r="C267" s="6" t="s">
        <v>61</v>
      </c>
      <c r="D267" s="6" t="s">
        <v>63</v>
      </c>
      <c r="E267" s="6" t="s">
        <v>32</v>
      </c>
      <c r="F267" s="6" t="s">
        <v>28</v>
      </c>
      <c r="G267" s="6" t="s">
        <v>18</v>
      </c>
      <c r="H267" s="7">
        <v>45188.0</v>
      </c>
      <c r="I267" s="8">
        <v>18.0</v>
      </c>
      <c r="J267" s="8">
        <v>426.33</v>
      </c>
      <c r="K267" s="8">
        <v>258.06</v>
      </c>
      <c r="O267" s="14">
        <f t="shared" si="1"/>
        <v>18</v>
      </c>
      <c r="P267" s="14">
        <f t="shared" si="2"/>
        <v>426.33</v>
      </c>
    </row>
    <row r="268">
      <c r="B268" s="6" t="s">
        <v>304</v>
      </c>
      <c r="C268" s="6" t="s">
        <v>26</v>
      </c>
      <c r="D268" s="6" t="s">
        <v>63</v>
      </c>
      <c r="E268" s="6" t="s">
        <v>55</v>
      </c>
      <c r="F268" s="6" t="s">
        <v>28</v>
      </c>
      <c r="G268" s="6" t="s">
        <v>23</v>
      </c>
      <c r="H268" s="7">
        <v>45189.0</v>
      </c>
      <c r="I268" s="8">
        <v>175.0</v>
      </c>
      <c r="J268" s="8">
        <v>337.36</v>
      </c>
      <c r="K268" s="8">
        <v>312.6</v>
      </c>
      <c r="O268" s="14">
        <f t="shared" si="1"/>
        <v>175</v>
      </c>
      <c r="P268" s="14">
        <f t="shared" si="2"/>
        <v>337.36</v>
      </c>
    </row>
    <row r="269">
      <c r="B269" s="6" t="s">
        <v>305</v>
      </c>
      <c r="C269" s="6" t="s">
        <v>26</v>
      </c>
      <c r="D269" s="6" t="s">
        <v>21</v>
      </c>
      <c r="E269" s="6"/>
      <c r="F269" s="6" t="s">
        <v>17</v>
      </c>
      <c r="G269" s="6" t="s">
        <v>18</v>
      </c>
      <c r="H269" s="7">
        <v>45190.0</v>
      </c>
      <c r="I269" s="8">
        <v>441.0</v>
      </c>
      <c r="J269" s="8">
        <v>405.72</v>
      </c>
      <c r="K269" s="8">
        <v>88.45</v>
      </c>
      <c r="O269" s="14">
        <f t="shared" si="1"/>
        <v>441</v>
      </c>
      <c r="P269" s="14">
        <f t="shared" si="2"/>
        <v>405.72</v>
      </c>
    </row>
    <row r="270">
      <c r="B270" s="6" t="s">
        <v>306</v>
      </c>
      <c r="C270" s="6" t="s">
        <v>14</v>
      </c>
      <c r="D270" s="6" t="s">
        <v>15</v>
      </c>
      <c r="E270" s="6" t="s">
        <v>27</v>
      </c>
      <c r="F270" s="6" t="s">
        <v>28</v>
      </c>
      <c r="G270" s="6" t="s">
        <v>33</v>
      </c>
      <c r="H270" s="7">
        <v>45191.0</v>
      </c>
      <c r="I270" s="8">
        <v>453.0</v>
      </c>
      <c r="J270" s="8">
        <v>384.49</v>
      </c>
      <c r="K270" s="8">
        <v>56.85</v>
      </c>
      <c r="O270" s="14">
        <f t="shared" si="1"/>
        <v>453</v>
      </c>
      <c r="P270" s="14">
        <f t="shared" si="2"/>
        <v>384.49</v>
      </c>
    </row>
    <row r="271">
      <c r="B271" s="6" t="s">
        <v>307</v>
      </c>
      <c r="C271" s="6" t="s">
        <v>61</v>
      </c>
      <c r="D271" s="6" t="s">
        <v>31</v>
      </c>
      <c r="E271" s="6" t="s">
        <v>32</v>
      </c>
      <c r="F271" s="6" t="s">
        <v>17</v>
      </c>
      <c r="G271" s="6" t="s">
        <v>33</v>
      </c>
      <c r="H271" s="7">
        <v>45192.0</v>
      </c>
      <c r="I271" s="8">
        <v>328.0</v>
      </c>
      <c r="J271" s="8">
        <v>79.1</v>
      </c>
      <c r="K271" s="8">
        <v>265.89</v>
      </c>
      <c r="O271" s="14">
        <f t="shared" si="1"/>
        <v>328</v>
      </c>
      <c r="P271" s="14">
        <f t="shared" si="2"/>
        <v>79.1</v>
      </c>
    </row>
    <row r="272">
      <c r="B272" s="6" t="s">
        <v>308</v>
      </c>
      <c r="C272" s="6" t="s">
        <v>20</v>
      </c>
      <c r="D272" s="6" t="s">
        <v>63</v>
      </c>
      <c r="E272" s="6" t="s">
        <v>55</v>
      </c>
      <c r="F272" s="6" t="s">
        <v>28</v>
      </c>
      <c r="G272" s="6" t="s">
        <v>33</v>
      </c>
      <c r="H272" s="7">
        <v>45193.0</v>
      </c>
      <c r="I272" s="8">
        <v>223.0</v>
      </c>
      <c r="J272" s="8">
        <v>214.85</v>
      </c>
      <c r="K272" s="8">
        <v>2.75</v>
      </c>
      <c r="O272" s="14">
        <f t="shared" si="1"/>
        <v>223</v>
      </c>
      <c r="P272" s="14">
        <f t="shared" si="2"/>
        <v>214.85</v>
      </c>
    </row>
    <row r="273">
      <c r="B273" s="6" t="s">
        <v>309</v>
      </c>
      <c r="C273" s="6" t="s">
        <v>20</v>
      </c>
      <c r="D273" s="6" t="s">
        <v>21</v>
      </c>
      <c r="E273" s="6" t="s">
        <v>16</v>
      </c>
      <c r="F273" s="6" t="s">
        <v>17</v>
      </c>
      <c r="G273" s="6" t="s">
        <v>33</v>
      </c>
      <c r="H273" s="7">
        <v>45194.0</v>
      </c>
      <c r="I273" s="8">
        <v>126.0</v>
      </c>
      <c r="J273" s="8">
        <v>80.73</v>
      </c>
      <c r="K273" s="8">
        <v>72.99</v>
      </c>
      <c r="O273" s="14">
        <f t="shared" si="1"/>
        <v>126</v>
      </c>
      <c r="P273" s="14">
        <f t="shared" si="2"/>
        <v>80.73</v>
      </c>
    </row>
    <row r="274">
      <c r="B274" s="6" t="s">
        <v>310</v>
      </c>
      <c r="C274" s="6" t="s">
        <v>14</v>
      </c>
      <c r="D274" s="6" t="s">
        <v>39</v>
      </c>
      <c r="E274" s="6" t="s">
        <v>22</v>
      </c>
      <c r="F274" s="6" t="s">
        <v>17</v>
      </c>
      <c r="G274" s="6" t="s">
        <v>33</v>
      </c>
      <c r="H274" s="7">
        <v>45195.0</v>
      </c>
      <c r="I274" s="8">
        <v>395.0</v>
      </c>
      <c r="J274" s="8">
        <v>121.44</v>
      </c>
      <c r="K274" s="8">
        <v>13.57</v>
      </c>
      <c r="O274" s="14">
        <f t="shared" si="1"/>
        <v>395</v>
      </c>
      <c r="P274" s="14">
        <f t="shared" si="2"/>
        <v>121.44</v>
      </c>
    </row>
    <row r="275">
      <c r="B275" s="6" t="s">
        <v>311</v>
      </c>
      <c r="C275" s="6" t="s">
        <v>14</v>
      </c>
      <c r="D275" s="6" t="s">
        <v>21</v>
      </c>
      <c r="E275" s="6" t="s">
        <v>32</v>
      </c>
      <c r="F275" s="6" t="s">
        <v>28</v>
      </c>
      <c r="G275" s="6" t="s">
        <v>18</v>
      </c>
      <c r="H275" s="7">
        <v>45196.0</v>
      </c>
      <c r="I275" s="8">
        <v>353.0</v>
      </c>
      <c r="J275" s="8">
        <v>435.28</v>
      </c>
      <c r="K275" s="8">
        <v>68.42</v>
      </c>
      <c r="O275" s="14">
        <f t="shared" si="1"/>
        <v>353</v>
      </c>
      <c r="P275" s="14">
        <f t="shared" si="2"/>
        <v>435.28</v>
      </c>
    </row>
    <row r="276">
      <c r="B276" s="6" t="s">
        <v>312</v>
      </c>
      <c r="C276" s="6" t="s">
        <v>61</v>
      </c>
      <c r="D276" s="6" t="s">
        <v>39</v>
      </c>
      <c r="E276" s="6" t="s">
        <v>32</v>
      </c>
      <c r="F276" s="6" t="s">
        <v>28</v>
      </c>
      <c r="G276" s="6" t="s">
        <v>18</v>
      </c>
      <c r="H276" s="7">
        <v>45197.0</v>
      </c>
      <c r="I276" s="8">
        <v>81.0</v>
      </c>
      <c r="J276" s="8">
        <v>239.08</v>
      </c>
      <c r="K276" s="8">
        <v>74.17</v>
      </c>
      <c r="O276" s="14">
        <f t="shared" si="1"/>
        <v>81</v>
      </c>
      <c r="P276" s="14">
        <f t="shared" si="2"/>
        <v>239.08</v>
      </c>
    </row>
    <row r="277">
      <c r="B277" s="6" t="s">
        <v>313</v>
      </c>
      <c r="C277" s="6" t="s">
        <v>20</v>
      </c>
      <c r="D277" s="6" t="s">
        <v>15</v>
      </c>
      <c r="E277" s="6" t="s">
        <v>27</v>
      </c>
      <c r="F277" s="6" t="s">
        <v>28</v>
      </c>
      <c r="G277" s="6" t="s">
        <v>18</v>
      </c>
      <c r="H277" s="7">
        <v>45198.0</v>
      </c>
      <c r="I277" s="8">
        <v>404.0</v>
      </c>
      <c r="J277" s="8">
        <v>270.0</v>
      </c>
      <c r="K277" s="8">
        <v>156.29</v>
      </c>
      <c r="O277" s="14">
        <f t="shared" si="1"/>
        <v>404</v>
      </c>
      <c r="P277" s="14">
        <f t="shared" si="2"/>
        <v>270</v>
      </c>
    </row>
    <row r="278">
      <c r="B278" s="6" t="s">
        <v>314</v>
      </c>
      <c r="C278" s="6" t="s">
        <v>20</v>
      </c>
      <c r="D278" s="6" t="s">
        <v>31</v>
      </c>
      <c r="E278" s="6" t="s">
        <v>27</v>
      </c>
      <c r="F278" s="6" t="s">
        <v>28</v>
      </c>
      <c r="G278" s="6" t="s">
        <v>18</v>
      </c>
      <c r="H278" s="7">
        <v>45199.0</v>
      </c>
      <c r="I278" s="8">
        <v>73.0</v>
      </c>
      <c r="J278" s="8">
        <v>93.33</v>
      </c>
      <c r="K278" s="8">
        <v>162.13</v>
      </c>
      <c r="O278" s="14">
        <f t="shared" si="1"/>
        <v>73</v>
      </c>
      <c r="P278" s="14">
        <f t="shared" si="2"/>
        <v>93.33</v>
      </c>
    </row>
    <row r="279">
      <c r="B279" s="6" t="s">
        <v>315</v>
      </c>
      <c r="C279" s="6" t="s">
        <v>20</v>
      </c>
      <c r="D279" s="6" t="s">
        <v>21</v>
      </c>
      <c r="E279" s="6" t="s">
        <v>16</v>
      </c>
      <c r="F279" s="6" t="s">
        <v>17</v>
      </c>
      <c r="G279" s="6" t="s">
        <v>33</v>
      </c>
      <c r="H279" s="7">
        <v>45200.0</v>
      </c>
      <c r="I279" s="8">
        <v>214.0</v>
      </c>
      <c r="J279" s="8">
        <v>159.57</v>
      </c>
      <c r="K279" s="8">
        <v>349.96</v>
      </c>
      <c r="O279" s="14">
        <f t="shared" si="1"/>
        <v>214</v>
      </c>
      <c r="P279" s="14">
        <f t="shared" si="2"/>
        <v>159.57</v>
      </c>
    </row>
    <row r="280">
      <c r="B280" s="6" t="s">
        <v>316</v>
      </c>
      <c r="C280" s="6" t="s">
        <v>26</v>
      </c>
      <c r="D280" s="6" t="s">
        <v>63</v>
      </c>
      <c r="E280" s="6" t="s">
        <v>16</v>
      </c>
      <c r="F280" s="6" t="s">
        <v>28</v>
      </c>
      <c r="G280" s="6" t="s">
        <v>23</v>
      </c>
      <c r="H280" s="7">
        <v>45201.0</v>
      </c>
      <c r="I280" s="8">
        <v>218.0</v>
      </c>
      <c r="J280" s="8">
        <v>118.97</v>
      </c>
      <c r="K280" s="8">
        <v>205.02</v>
      </c>
      <c r="O280" s="14">
        <f t="shared" si="1"/>
        <v>218</v>
      </c>
      <c r="P280" s="14">
        <f t="shared" si="2"/>
        <v>118.97</v>
      </c>
    </row>
    <row r="281">
      <c r="B281" s="6" t="s">
        <v>317</v>
      </c>
      <c r="C281" s="6" t="s">
        <v>20</v>
      </c>
      <c r="D281" s="6" t="s">
        <v>15</v>
      </c>
      <c r="E281" s="6" t="s">
        <v>55</v>
      </c>
      <c r="F281" s="6" t="s">
        <v>28</v>
      </c>
      <c r="G281" s="6" t="s">
        <v>18</v>
      </c>
      <c r="H281" s="7">
        <v>45202.0</v>
      </c>
      <c r="I281" s="8">
        <v>81.0</v>
      </c>
      <c r="J281" s="8">
        <v>107.06</v>
      </c>
      <c r="K281" s="8">
        <v>289.92</v>
      </c>
      <c r="O281" s="14">
        <f t="shared" si="1"/>
        <v>81</v>
      </c>
      <c r="P281" s="14">
        <f t="shared" si="2"/>
        <v>107.06</v>
      </c>
    </row>
    <row r="282">
      <c r="B282" s="6" t="s">
        <v>318</v>
      </c>
      <c r="C282" s="6" t="s">
        <v>26</v>
      </c>
      <c r="D282" s="6" t="s">
        <v>21</v>
      </c>
      <c r="E282" s="6" t="s">
        <v>55</v>
      </c>
      <c r="F282" s="6" t="s">
        <v>28</v>
      </c>
      <c r="G282" s="6" t="s">
        <v>23</v>
      </c>
      <c r="H282" s="7">
        <v>45203.0</v>
      </c>
      <c r="I282" s="8">
        <v>286.0</v>
      </c>
      <c r="J282" s="8">
        <v>320.79</v>
      </c>
      <c r="K282" s="8">
        <v>43.45</v>
      </c>
      <c r="O282" s="14">
        <f t="shared" si="1"/>
        <v>286</v>
      </c>
      <c r="P282" s="14">
        <f t="shared" si="2"/>
        <v>320.79</v>
      </c>
    </row>
    <row r="283">
      <c r="B283" s="6" t="s">
        <v>319</v>
      </c>
      <c r="C283" s="6" t="s">
        <v>61</v>
      </c>
      <c r="D283" s="6" t="s">
        <v>63</v>
      </c>
      <c r="E283" s="6" t="s">
        <v>16</v>
      </c>
      <c r="F283" s="6" t="s">
        <v>17</v>
      </c>
      <c r="G283" s="6" t="s">
        <v>18</v>
      </c>
      <c r="H283" s="7">
        <v>45204.0</v>
      </c>
      <c r="I283" s="8">
        <v>283.0</v>
      </c>
      <c r="J283" s="8">
        <v>132.16</v>
      </c>
      <c r="K283" s="8">
        <v>91.72</v>
      </c>
      <c r="O283" s="14">
        <f t="shared" si="1"/>
        <v>283</v>
      </c>
      <c r="P283" s="14">
        <f t="shared" si="2"/>
        <v>132.16</v>
      </c>
    </row>
    <row r="284">
      <c r="B284" s="6" t="s">
        <v>320</v>
      </c>
      <c r="C284" s="6" t="s">
        <v>26</v>
      </c>
      <c r="D284" s="6" t="s">
        <v>21</v>
      </c>
      <c r="E284" s="6" t="s">
        <v>16</v>
      </c>
      <c r="F284" s="6" t="s">
        <v>17</v>
      </c>
      <c r="G284" s="6" t="s">
        <v>18</v>
      </c>
      <c r="H284" s="7">
        <v>45205.0</v>
      </c>
      <c r="I284" s="8">
        <v>487.0</v>
      </c>
      <c r="J284" s="8">
        <v>317.85</v>
      </c>
      <c r="K284" s="8">
        <v>281.77</v>
      </c>
      <c r="O284" s="14">
        <f t="shared" si="1"/>
        <v>487</v>
      </c>
      <c r="P284" s="14">
        <f t="shared" si="2"/>
        <v>317.85</v>
      </c>
    </row>
    <row r="285">
      <c r="B285" s="6" t="s">
        <v>321</v>
      </c>
      <c r="C285" s="6" t="s">
        <v>61</v>
      </c>
      <c r="D285" s="6" t="s">
        <v>39</v>
      </c>
      <c r="E285" s="6" t="s">
        <v>22</v>
      </c>
      <c r="F285" s="6" t="s">
        <v>28</v>
      </c>
      <c r="G285" s="6" t="s">
        <v>23</v>
      </c>
      <c r="H285" s="7">
        <v>45206.0</v>
      </c>
      <c r="I285" s="8">
        <v>329.0</v>
      </c>
      <c r="J285" s="8">
        <v>33.94</v>
      </c>
      <c r="K285" s="8">
        <v>23.02</v>
      </c>
      <c r="O285" s="14">
        <f t="shared" si="1"/>
        <v>329</v>
      </c>
      <c r="P285" s="14">
        <f t="shared" si="2"/>
        <v>33.94</v>
      </c>
    </row>
    <row r="286">
      <c r="B286" s="6" t="s">
        <v>322</v>
      </c>
      <c r="C286" s="6" t="s">
        <v>20</v>
      </c>
      <c r="D286" s="6" t="s">
        <v>21</v>
      </c>
      <c r="E286" s="6" t="s">
        <v>27</v>
      </c>
      <c r="F286" s="6" t="s">
        <v>17</v>
      </c>
      <c r="G286" s="6" t="s">
        <v>33</v>
      </c>
      <c r="H286" s="7">
        <v>45207.0</v>
      </c>
      <c r="I286" s="8">
        <v>347.0</v>
      </c>
      <c r="J286" s="8">
        <v>75.18</v>
      </c>
      <c r="K286" s="8">
        <v>195.67</v>
      </c>
      <c r="O286" s="14">
        <f t="shared" si="1"/>
        <v>347</v>
      </c>
      <c r="P286" s="14">
        <f t="shared" si="2"/>
        <v>75.18</v>
      </c>
    </row>
    <row r="287">
      <c r="B287" s="6" t="s">
        <v>323</v>
      </c>
      <c r="C287" s="6" t="s">
        <v>20</v>
      </c>
      <c r="D287" s="6" t="s">
        <v>21</v>
      </c>
      <c r="E287" s="6" t="s">
        <v>55</v>
      </c>
      <c r="F287" s="6" t="s">
        <v>28</v>
      </c>
      <c r="G287" s="6" t="s">
        <v>18</v>
      </c>
      <c r="H287" s="7">
        <v>45208.0</v>
      </c>
      <c r="I287" s="8">
        <v>375.0</v>
      </c>
      <c r="J287" s="8">
        <v>140.9</v>
      </c>
      <c r="K287" s="8">
        <v>240.55</v>
      </c>
      <c r="O287" s="14">
        <f t="shared" si="1"/>
        <v>375</v>
      </c>
      <c r="P287" s="14">
        <f t="shared" si="2"/>
        <v>140.9</v>
      </c>
    </row>
    <row r="288">
      <c r="B288" s="6" t="s">
        <v>324</v>
      </c>
      <c r="C288" s="6" t="s">
        <v>61</v>
      </c>
      <c r="D288" s="6" t="s">
        <v>21</v>
      </c>
      <c r="E288" s="6" t="s">
        <v>27</v>
      </c>
      <c r="F288" s="6" t="s">
        <v>17</v>
      </c>
      <c r="G288" s="6" t="s">
        <v>18</v>
      </c>
      <c r="H288" s="7">
        <v>45209.0</v>
      </c>
      <c r="I288" s="8">
        <v>104.0</v>
      </c>
      <c r="J288" s="8">
        <v>300.54</v>
      </c>
      <c r="K288" s="8">
        <v>241.65</v>
      </c>
      <c r="O288" s="14">
        <f t="shared" si="1"/>
        <v>104</v>
      </c>
      <c r="P288" s="14">
        <f t="shared" si="2"/>
        <v>300.54</v>
      </c>
    </row>
    <row r="289">
      <c r="B289" s="6" t="s">
        <v>325</v>
      </c>
      <c r="C289" s="6" t="s">
        <v>14</v>
      </c>
      <c r="D289" s="6" t="s">
        <v>15</v>
      </c>
      <c r="E289" s="6"/>
      <c r="F289" s="6" t="s">
        <v>17</v>
      </c>
      <c r="G289" s="6" t="s">
        <v>18</v>
      </c>
      <c r="H289" s="7">
        <v>45210.0</v>
      </c>
      <c r="I289" s="8">
        <v>175.0</v>
      </c>
      <c r="J289" s="8">
        <v>339.54</v>
      </c>
      <c r="K289" s="8">
        <v>11.13</v>
      </c>
      <c r="O289" s="14">
        <f t="shared" si="1"/>
        <v>175</v>
      </c>
      <c r="P289" s="14">
        <f t="shared" si="2"/>
        <v>339.54</v>
      </c>
    </row>
    <row r="290">
      <c r="B290" s="6" t="s">
        <v>326</v>
      </c>
      <c r="C290" s="6" t="s">
        <v>61</v>
      </c>
      <c r="D290" s="6" t="s">
        <v>21</v>
      </c>
      <c r="E290" s="6" t="s">
        <v>16</v>
      </c>
      <c r="F290" s="6" t="s">
        <v>17</v>
      </c>
      <c r="G290" s="6" t="s">
        <v>23</v>
      </c>
      <c r="H290" s="7">
        <v>45211.0</v>
      </c>
      <c r="I290" s="8">
        <v>41.0</v>
      </c>
      <c r="J290" s="8">
        <v>224.14</v>
      </c>
      <c r="K290" s="8">
        <v>130.2</v>
      </c>
      <c r="O290" s="14">
        <f t="shared" si="1"/>
        <v>41</v>
      </c>
      <c r="P290" s="14">
        <f t="shared" si="2"/>
        <v>224.14</v>
      </c>
    </row>
    <row r="291">
      <c r="B291" s="6" t="s">
        <v>327</v>
      </c>
      <c r="C291" s="6" t="s">
        <v>14</v>
      </c>
      <c r="D291" s="6" t="s">
        <v>63</v>
      </c>
      <c r="E291" s="6" t="s">
        <v>22</v>
      </c>
      <c r="F291" s="6" t="s">
        <v>17</v>
      </c>
      <c r="G291" s="6" t="s">
        <v>33</v>
      </c>
      <c r="H291" s="7">
        <v>45212.0</v>
      </c>
      <c r="I291" s="8">
        <v>20.0</v>
      </c>
      <c r="J291" s="8">
        <v>225.67</v>
      </c>
      <c r="K291" s="8">
        <v>255.32</v>
      </c>
      <c r="O291" s="14">
        <f t="shared" si="1"/>
        <v>20</v>
      </c>
      <c r="P291" s="14">
        <f t="shared" si="2"/>
        <v>225.67</v>
      </c>
    </row>
    <row r="292">
      <c r="B292" s="6" t="s">
        <v>328</v>
      </c>
      <c r="C292" s="6" t="s">
        <v>26</v>
      </c>
      <c r="D292" s="6" t="s">
        <v>39</v>
      </c>
      <c r="E292" s="6" t="s">
        <v>32</v>
      </c>
      <c r="F292" s="6" t="s">
        <v>28</v>
      </c>
      <c r="G292" s="6" t="s">
        <v>23</v>
      </c>
      <c r="H292" s="7">
        <v>45213.0</v>
      </c>
      <c r="I292" s="8">
        <v>310.0</v>
      </c>
      <c r="J292" s="8">
        <v>363.64</v>
      </c>
      <c r="K292" s="8">
        <v>61.3</v>
      </c>
      <c r="O292" s="14">
        <f t="shared" si="1"/>
        <v>310</v>
      </c>
      <c r="P292" s="14">
        <f t="shared" si="2"/>
        <v>363.64</v>
      </c>
    </row>
    <row r="293">
      <c r="B293" s="6" t="s">
        <v>329</v>
      </c>
      <c r="C293" s="6" t="s">
        <v>26</v>
      </c>
      <c r="D293" s="6" t="s">
        <v>39</v>
      </c>
      <c r="E293" s="6" t="s">
        <v>22</v>
      </c>
      <c r="F293" s="6" t="s">
        <v>28</v>
      </c>
      <c r="G293" s="6" t="s">
        <v>23</v>
      </c>
      <c r="H293" s="7">
        <v>45214.0</v>
      </c>
      <c r="I293" s="8">
        <v>226.0</v>
      </c>
      <c r="J293" s="6"/>
      <c r="K293" s="8">
        <v>278.78</v>
      </c>
      <c r="O293" s="14">
        <f t="shared" si="1"/>
        <v>226</v>
      </c>
      <c r="P293" s="14">
        <f t="shared" si="2"/>
        <v>249.6452059</v>
      </c>
    </row>
    <row r="294">
      <c r="B294" s="6" t="s">
        <v>330</v>
      </c>
      <c r="C294" s="6" t="s">
        <v>26</v>
      </c>
      <c r="D294" s="6" t="s">
        <v>21</v>
      </c>
      <c r="E294" s="6" t="s">
        <v>22</v>
      </c>
      <c r="F294" s="6" t="s">
        <v>28</v>
      </c>
      <c r="G294" s="6" t="s">
        <v>33</v>
      </c>
      <c r="H294" s="7">
        <v>45215.0</v>
      </c>
      <c r="I294" s="6"/>
      <c r="J294" s="8">
        <v>173.84</v>
      </c>
      <c r="K294" s="8">
        <v>298.88</v>
      </c>
      <c r="O294" s="14">
        <f t="shared" si="1"/>
        <v>49</v>
      </c>
      <c r="P294" s="14">
        <f t="shared" si="2"/>
        <v>173.84</v>
      </c>
    </row>
    <row r="295">
      <c r="B295" s="6" t="s">
        <v>331</v>
      </c>
      <c r="C295" s="6" t="s">
        <v>20</v>
      </c>
      <c r="D295" s="6" t="s">
        <v>15</v>
      </c>
      <c r="E295" s="6" t="s">
        <v>27</v>
      </c>
      <c r="F295" s="6" t="s">
        <v>17</v>
      </c>
      <c r="G295" s="6" t="s">
        <v>23</v>
      </c>
      <c r="H295" s="7">
        <v>45216.0</v>
      </c>
      <c r="I295" s="8">
        <v>111.0</v>
      </c>
      <c r="J295" s="8">
        <v>410.26</v>
      </c>
      <c r="K295" s="8">
        <v>392.82</v>
      </c>
      <c r="O295" s="14">
        <f t="shared" si="1"/>
        <v>111</v>
      </c>
      <c r="P295" s="14">
        <f t="shared" si="2"/>
        <v>410.26</v>
      </c>
    </row>
    <row r="296">
      <c r="B296" s="6" t="s">
        <v>332</v>
      </c>
      <c r="C296" s="6" t="s">
        <v>26</v>
      </c>
      <c r="D296" s="6" t="s">
        <v>15</v>
      </c>
      <c r="E296" s="6" t="s">
        <v>22</v>
      </c>
      <c r="F296" s="6" t="s">
        <v>28</v>
      </c>
      <c r="G296" s="6" t="s">
        <v>33</v>
      </c>
      <c r="H296" s="7">
        <v>45217.0</v>
      </c>
      <c r="I296" s="8">
        <v>434.0</v>
      </c>
      <c r="J296" s="8">
        <v>303.59</v>
      </c>
      <c r="K296" s="8">
        <v>85.52</v>
      </c>
      <c r="O296" s="14">
        <f t="shared" si="1"/>
        <v>434</v>
      </c>
      <c r="P296" s="14">
        <f t="shared" si="2"/>
        <v>303.59</v>
      </c>
    </row>
    <row r="297">
      <c r="B297" s="6" t="s">
        <v>333</v>
      </c>
      <c r="C297" s="6" t="s">
        <v>14</v>
      </c>
      <c r="D297" s="6" t="s">
        <v>63</v>
      </c>
      <c r="E297" s="6" t="s">
        <v>55</v>
      </c>
      <c r="F297" s="6" t="s">
        <v>28</v>
      </c>
      <c r="G297" s="6" t="s">
        <v>18</v>
      </c>
      <c r="H297" s="7">
        <v>45218.0</v>
      </c>
      <c r="I297" s="8">
        <v>401.0</v>
      </c>
      <c r="J297" s="8">
        <v>171.93</v>
      </c>
      <c r="K297" s="8">
        <v>330.4</v>
      </c>
      <c r="O297" s="14">
        <f t="shared" si="1"/>
        <v>401</v>
      </c>
      <c r="P297" s="14">
        <f t="shared" si="2"/>
        <v>171.93</v>
      </c>
    </row>
    <row r="298">
      <c r="B298" s="6" t="s">
        <v>334</v>
      </c>
      <c r="C298" s="6" t="s">
        <v>26</v>
      </c>
      <c r="D298" s="6" t="s">
        <v>21</v>
      </c>
      <c r="E298" s="6" t="s">
        <v>27</v>
      </c>
      <c r="F298" s="6" t="s">
        <v>28</v>
      </c>
      <c r="G298" s="6" t="s">
        <v>33</v>
      </c>
      <c r="H298" s="7">
        <v>45219.0</v>
      </c>
      <c r="I298" s="8">
        <v>276.0</v>
      </c>
      <c r="J298" s="8">
        <v>453.23</v>
      </c>
      <c r="K298" s="8">
        <v>209.08</v>
      </c>
      <c r="O298" s="14">
        <f t="shared" si="1"/>
        <v>276</v>
      </c>
      <c r="P298" s="14">
        <f t="shared" si="2"/>
        <v>453.23</v>
      </c>
    </row>
    <row r="299">
      <c r="B299" s="6" t="s">
        <v>335</v>
      </c>
      <c r="C299" s="6" t="s">
        <v>61</v>
      </c>
      <c r="D299" s="6" t="s">
        <v>39</v>
      </c>
      <c r="E299" s="6" t="s">
        <v>55</v>
      </c>
      <c r="F299" s="6" t="s">
        <v>17</v>
      </c>
      <c r="G299" s="6" t="s">
        <v>18</v>
      </c>
      <c r="H299" s="7">
        <v>45220.0</v>
      </c>
      <c r="I299" s="6"/>
      <c r="J299" s="8">
        <v>387.45</v>
      </c>
      <c r="K299" s="8">
        <v>150.64</v>
      </c>
      <c r="O299" s="14">
        <f t="shared" si="1"/>
        <v>49</v>
      </c>
      <c r="P299" s="14">
        <f t="shared" si="2"/>
        <v>387.45</v>
      </c>
    </row>
    <row r="300">
      <c r="B300" s="6" t="s">
        <v>336</v>
      </c>
      <c r="C300" s="6" t="s">
        <v>61</v>
      </c>
      <c r="D300" s="6" t="s">
        <v>15</v>
      </c>
      <c r="E300" s="6" t="s">
        <v>32</v>
      </c>
      <c r="F300" s="6" t="s">
        <v>17</v>
      </c>
      <c r="G300" s="6" t="s">
        <v>23</v>
      </c>
      <c r="H300" s="7">
        <v>45221.0</v>
      </c>
      <c r="I300" s="8">
        <v>188.0</v>
      </c>
      <c r="J300" s="8">
        <v>136.12</v>
      </c>
      <c r="K300" s="8">
        <v>50.71</v>
      </c>
      <c r="O300" s="14">
        <f t="shared" si="1"/>
        <v>188</v>
      </c>
      <c r="P300" s="14">
        <f t="shared" si="2"/>
        <v>136.12</v>
      </c>
    </row>
    <row r="301">
      <c r="B301" s="6" t="s">
        <v>337</v>
      </c>
      <c r="C301" s="6" t="s">
        <v>20</v>
      </c>
      <c r="D301" s="6" t="s">
        <v>21</v>
      </c>
      <c r="E301" s="6" t="s">
        <v>27</v>
      </c>
      <c r="F301" s="6" t="s">
        <v>17</v>
      </c>
      <c r="G301" s="6" t="s">
        <v>23</v>
      </c>
      <c r="H301" s="7">
        <v>45222.0</v>
      </c>
      <c r="I301" s="8">
        <v>97.0</v>
      </c>
      <c r="J301" s="8">
        <v>324.42</v>
      </c>
      <c r="K301" s="8">
        <v>294.73</v>
      </c>
      <c r="O301" s="14">
        <f t="shared" si="1"/>
        <v>97</v>
      </c>
      <c r="P301" s="14">
        <f t="shared" si="2"/>
        <v>324.42</v>
      </c>
    </row>
    <row r="302">
      <c r="B302" s="6" t="s">
        <v>338</v>
      </c>
      <c r="C302" s="6" t="s">
        <v>61</v>
      </c>
      <c r="D302" s="6" t="s">
        <v>15</v>
      </c>
      <c r="E302" s="6" t="s">
        <v>32</v>
      </c>
      <c r="F302" s="6" t="s">
        <v>28</v>
      </c>
      <c r="G302" s="6" t="s">
        <v>18</v>
      </c>
      <c r="H302" s="7">
        <v>45223.0</v>
      </c>
      <c r="I302" s="8">
        <v>50.0</v>
      </c>
      <c r="J302" s="8">
        <v>299.9</v>
      </c>
      <c r="K302" s="8">
        <v>95.87</v>
      </c>
      <c r="O302" s="14">
        <f t="shared" si="1"/>
        <v>50</v>
      </c>
      <c r="P302" s="14">
        <f t="shared" si="2"/>
        <v>299.9</v>
      </c>
    </row>
    <row r="303">
      <c r="B303" s="6" t="s">
        <v>339</v>
      </c>
      <c r="C303" s="6" t="s">
        <v>14</v>
      </c>
      <c r="D303" s="6" t="s">
        <v>15</v>
      </c>
      <c r="E303" s="6" t="s">
        <v>27</v>
      </c>
      <c r="F303" s="6" t="s">
        <v>28</v>
      </c>
      <c r="G303" s="6" t="s">
        <v>23</v>
      </c>
      <c r="H303" s="7">
        <v>45224.0</v>
      </c>
      <c r="I303" s="8">
        <v>410.0</v>
      </c>
      <c r="J303" s="8">
        <v>203.59</v>
      </c>
      <c r="K303" s="8">
        <v>149.83</v>
      </c>
      <c r="O303" s="14">
        <f t="shared" si="1"/>
        <v>410</v>
      </c>
      <c r="P303" s="14">
        <f t="shared" si="2"/>
        <v>203.59</v>
      </c>
    </row>
    <row r="304">
      <c r="B304" s="6" t="s">
        <v>340</v>
      </c>
      <c r="C304" s="6" t="s">
        <v>26</v>
      </c>
      <c r="D304" s="6" t="s">
        <v>39</v>
      </c>
      <c r="E304" s="6" t="s">
        <v>16</v>
      </c>
      <c r="F304" s="6" t="s">
        <v>28</v>
      </c>
      <c r="G304" s="6" t="s">
        <v>33</v>
      </c>
      <c r="H304" s="7">
        <v>45225.0</v>
      </c>
      <c r="I304" s="8">
        <v>85.0</v>
      </c>
      <c r="J304" s="8">
        <v>186.64</v>
      </c>
      <c r="K304" s="8">
        <v>26.89</v>
      </c>
      <c r="O304" s="14">
        <f t="shared" si="1"/>
        <v>85</v>
      </c>
      <c r="P304" s="14">
        <f t="shared" si="2"/>
        <v>186.64</v>
      </c>
    </row>
    <row r="305">
      <c r="B305" s="6" t="s">
        <v>341</v>
      </c>
      <c r="C305" s="6" t="s">
        <v>20</v>
      </c>
      <c r="D305" s="6" t="s">
        <v>31</v>
      </c>
      <c r="E305" s="6" t="s">
        <v>22</v>
      </c>
      <c r="F305" s="6" t="s">
        <v>17</v>
      </c>
      <c r="G305" s="6" t="s">
        <v>18</v>
      </c>
      <c r="H305" s="7">
        <v>45226.0</v>
      </c>
      <c r="I305" s="8">
        <v>386.0</v>
      </c>
      <c r="J305" s="8">
        <v>175.06</v>
      </c>
      <c r="K305" s="8">
        <v>320.94</v>
      </c>
      <c r="O305" s="14">
        <f t="shared" si="1"/>
        <v>386</v>
      </c>
      <c r="P305" s="14">
        <f t="shared" si="2"/>
        <v>175.06</v>
      </c>
    </row>
    <row r="306">
      <c r="B306" s="6" t="s">
        <v>342</v>
      </c>
      <c r="C306" s="6" t="s">
        <v>26</v>
      </c>
      <c r="D306" s="6" t="s">
        <v>63</v>
      </c>
      <c r="E306" s="6" t="s">
        <v>16</v>
      </c>
      <c r="F306" s="6" t="s">
        <v>17</v>
      </c>
      <c r="G306" s="6" t="s">
        <v>23</v>
      </c>
      <c r="H306" s="7">
        <v>45227.0</v>
      </c>
      <c r="I306" s="8">
        <v>55.0</v>
      </c>
      <c r="J306" s="8">
        <v>310.49</v>
      </c>
      <c r="K306" s="8">
        <v>307.1</v>
      </c>
      <c r="O306" s="14">
        <f t="shared" si="1"/>
        <v>55</v>
      </c>
      <c r="P306" s="14">
        <f t="shared" si="2"/>
        <v>310.49</v>
      </c>
    </row>
    <row r="307">
      <c r="B307" s="6" t="s">
        <v>343</v>
      </c>
      <c r="C307" s="6" t="s">
        <v>26</v>
      </c>
      <c r="D307" s="6" t="s">
        <v>63</v>
      </c>
      <c r="E307" s="6" t="s">
        <v>32</v>
      </c>
      <c r="F307" s="6" t="s">
        <v>28</v>
      </c>
      <c r="G307" s="6" t="s">
        <v>18</v>
      </c>
      <c r="H307" s="7">
        <v>45228.0</v>
      </c>
      <c r="I307" s="8">
        <v>169.0</v>
      </c>
      <c r="J307" s="8">
        <v>223.99</v>
      </c>
      <c r="K307" s="8">
        <v>293.98</v>
      </c>
      <c r="O307" s="14">
        <f t="shared" si="1"/>
        <v>169</v>
      </c>
      <c r="P307" s="14">
        <f t="shared" si="2"/>
        <v>223.99</v>
      </c>
    </row>
    <row r="308">
      <c r="B308" s="6" t="s">
        <v>344</v>
      </c>
      <c r="C308" s="6" t="s">
        <v>14</v>
      </c>
      <c r="D308" s="6" t="s">
        <v>39</v>
      </c>
      <c r="E308" s="6" t="s">
        <v>22</v>
      </c>
      <c r="F308" s="6" t="s">
        <v>17</v>
      </c>
      <c r="G308" s="6" t="s">
        <v>33</v>
      </c>
      <c r="H308" s="7">
        <v>45229.0</v>
      </c>
      <c r="I308" s="8">
        <v>472.0</v>
      </c>
      <c r="J308" s="8">
        <v>416.77</v>
      </c>
      <c r="K308" s="8">
        <v>121.18</v>
      </c>
      <c r="O308" s="14">
        <f t="shared" si="1"/>
        <v>472</v>
      </c>
      <c r="P308" s="14">
        <f t="shared" si="2"/>
        <v>416.77</v>
      </c>
    </row>
    <row r="309">
      <c r="B309" s="6" t="s">
        <v>345</v>
      </c>
      <c r="C309" s="6" t="s">
        <v>61</v>
      </c>
      <c r="D309" s="6" t="s">
        <v>15</v>
      </c>
      <c r="E309" s="6" t="s">
        <v>27</v>
      </c>
      <c r="F309" s="6" t="s">
        <v>17</v>
      </c>
      <c r="G309" s="6" t="s">
        <v>33</v>
      </c>
      <c r="H309" s="7">
        <v>45230.0</v>
      </c>
      <c r="I309" s="8">
        <v>89.0</v>
      </c>
      <c r="J309" s="8">
        <v>336.45</v>
      </c>
      <c r="K309" s="8">
        <v>71.05</v>
      </c>
      <c r="O309" s="14">
        <f t="shared" si="1"/>
        <v>89</v>
      </c>
      <c r="P309" s="14">
        <f t="shared" si="2"/>
        <v>336.45</v>
      </c>
    </row>
    <row r="310">
      <c r="B310" s="6" t="s">
        <v>346</v>
      </c>
      <c r="C310" s="6" t="s">
        <v>61</v>
      </c>
      <c r="D310" s="6" t="s">
        <v>21</v>
      </c>
      <c r="E310" s="6" t="s">
        <v>22</v>
      </c>
      <c r="F310" s="6" t="s">
        <v>17</v>
      </c>
      <c r="G310" s="6" t="s">
        <v>23</v>
      </c>
      <c r="H310" s="7">
        <v>45231.0</v>
      </c>
      <c r="I310" s="8">
        <v>319.0</v>
      </c>
      <c r="J310" s="8">
        <v>39.62</v>
      </c>
      <c r="K310" s="8">
        <v>255.75</v>
      </c>
      <c r="O310" s="14">
        <f t="shared" si="1"/>
        <v>319</v>
      </c>
      <c r="P310" s="14">
        <f t="shared" si="2"/>
        <v>39.62</v>
      </c>
    </row>
    <row r="311">
      <c r="B311" s="6" t="s">
        <v>347</v>
      </c>
      <c r="C311" s="6" t="s">
        <v>26</v>
      </c>
      <c r="D311" s="6" t="s">
        <v>15</v>
      </c>
      <c r="E311" s="6"/>
      <c r="F311" s="6" t="s">
        <v>17</v>
      </c>
      <c r="G311" s="6" t="s">
        <v>33</v>
      </c>
      <c r="H311" s="7">
        <v>45232.0</v>
      </c>
      <c r="I311" s="8">
        <v>95.0</v>
      </c>
      <c r="J311" s="8">
        <v>321.88</v>
      </c>
      <c r="K311" s="8">
        <v>199.47</v>
      </c>
      <c r="O311" s="14">
        <f t="shared" si="1"/>
        <v>95</v>
      </c>
      <c r="P311" s="14">
        <f t="shared" si="2"/>
        <v>321.88</v>
      </c>
    </row>
    <row r="312">
      <c r="B312" s="6" t="s">
        <v>348</v>
      </c>
      <c r="C312" s="6" t="s">
        <v>20</v>
      </c>
      <c r="D312" s="6" t="s">
        <v>39</v>
      </c>
      <c r="E312" s="6"/>
      <c r="F312" s="6" t="s">
        <v>28</v>
      </c>
      <c r="G312" s="6" t="s">
        <v>18</v>
      </c>
      <c r="H312" s="7">
        <v>45233.0</v>
      </c>
      <c r="I312" s="8">
        <v>101.0</v>
      </c>
      <c r="J312" s="8">
        <v>139.22</v>
      </c>
      <c r="K312" s="8">
        <v>72.94</v>
      </c>
      <c r="O312" s="14">
        <f t="shared" si="1"/>
        <v>101</v>
      </c>
      <c r="P312" s="14">
        <f t="shared" si="2"/>
        <v>139.22</v>
      </c>
    </row>
    <row r="313">
      <c r="B313" s="6" t="s">
        <v>349</v>
      </c>
      <c r="C313" s="6" t="s">
        <v>61</v>
      </c>
      <c r="D313" s="6" t="s">
        <v>63</v>
      </c>
      <c r="E313" s="6"/>
      <c r="F313" s="6" t="s">
        <v>17</v>
      </c>
      <c r="G313" s="6" t="s">
        <v>33</v>
      </c>
      <c r="H313" s="7">
        <v>45234.0</v>
      </c>
      <c r="I313" s="8">
        <v>157.0</v>
      </c>
      <c r="J313" s="6"/>
      <c r="K313" s="8">
        <v>274.99</v>
      </c>
      <c r="O313" s="14">
        <f t="shared" si="1"/>
        <v>157</v>
      </c>
      <c r="P313" s="14">
        <f t="shared" si="2"/>
        <v>249.6452059</v>
      </c>
    </row>
    <row r="314">
      <c r="B314" s="6" t="s">
        <v>350</v>
      </c>
      <c r="C314" s="6" t="s">
        <v>20</v>
      </c>
      <c r="D314" s="6" t="s">
        <v>15</v>
      </c>
      <c r="E314" s="6" t="s">
        <v>22</v>
      </c>
      <c r="F314" s="6" t="s">
        <v>17</v>
      </c>
      <c r="G314" s="6" t="s">
        <v>18</v>
      </c>
      <c r="H314" s="7">
        <v>45235.0</v>
      </c>
      <c r="I314" s="8">
        <v>170.0</v>
      </c>
      <c r="J314" s="8">
        <v>341.67</v>
      </c>
      <c r="K314" s="8">
        <v>396.47</v>
      </c>
      <c r="O314" s="14">
        <f t="shared" si="1"/>
        <v>170</v>
      </c>
      <c r="P314" s="14">
        <f t="shared" si="2"/>
        <v>341.67</v>
      </c>
    </row>
    <row r="315">
      <c r="B315" s="6" t="s">
        <v>351</v>
      </c>
      <c r="C315" s="6" t="s">
        <v>61</v>
      </c>
      <c r="D315" s="6" t="s">
        <v>63</v>
      </c>
      <c r="E315" s="6" t="s">
        <v>55</v>
      </c>
      <c r="F315" s="6" t="s">
        <v>17</v>
      </c>
      <c r="G315" s="6" t="s">
        <v>18</v>
      </c>
      <c r="H315" s="7">
        <v>45236.0</v>
      </c>
      <c r="I315" s="8">
        <v>211.0</v>
      </c>
      <c r="J315" s="8">
        <v>119.26</v>
      </c>
      <c r="K315" s="8">
        <v>299.39</v>
      </c>
      <c r="O315" s="14">
        <f t="shared" si="1"/>
        <v>211</v>
      </c>
      <c r="P315" s="14">
        <f t="shared" si="2"/>
        <v>119.26</v>
      </c>
    </row>
    <row r="316">
      <c r="B316" s="6" t="s">
        <v>352</v>
      </c>
      <c r="C316" s="6" t="s">
        <v>20</v>
      </c>
      <c r="D316" s="6" t="s">
        <v>21</v>
      </c>
      <c r="E316" s="6" t="s">
        <v>32</v>
      </c>
      <c r="F316" s="6" t="s">
        <v>17</v>
      </c>
      <c r="G316" s="6" t="s">
        <v>33</v>
      </c>
      <c r="H316" s="7">
        <v>45237.0</v>
      </c>
      <c r="I316" s="8">
        <v>433.0</v>
      </c>
      <c r="J316" s="8">
        <v>231.15</v>
      </c>
      <c r="K316" s="8">
        <v>296.51</v>
      </c>
      <c r="O316" s="14">
        <f t="shared" si="1"/>
        <v>433</v>
      </c>
      <c r="P316" s="14">
        <f t="shared" si="2"/>
        <v>231.15</v>
      </c>
    </row>
    <row r="317">
      <c r="B317" s="6" t="s">
        <v>353</v>
      </c>
      <c r="C317" s="6" t="s">
        <v>14</v>
      </c>
      <c r="D317" s="6" t="s">
        <v>63</v>
      </c>
      <c r="E317" s="6" t="s">
        <v>16</v>
      </c>
      <c r="F317" s="6" t="s">
        <v>28</v>
      </c>
      <c r="G317" s="6" t="s">
        <v>23</v>
      </c>
      <c r="H317" s="7">
        <v>45238.0</v>
      </c>
      <c r="I317" s="8">
        <v>425.0</v>
      </c>
      <c r="J317" s="8">
        <v>99.21</v>
      </c>
      <c r="K317" s="8">
        <v>380.22</v>
      </c>
      <c r="O317" s="14">
        <f t="shared" si="1"/>
        <v>425</v>
      </c>
      <c r="P317" s="14">
        <f t="shared" si="2"/>
        <v>99.21</v>
      </c>
    </row>
    <row r="318">
      <c r="B318" s="6" t="s">
        <v>354</v>
      </c>
      <c r="C318" s="6" t="s">
        <v>20</v>
      </c>
      <c r="D318" s="6" t="s">
        <v>63</v>
      </c>
      <c r="E318" s="6" t="s">
        <v>27</v>
      </c>
      <c r="F318" s="6" t="s">
        <v>28</v>
      </c>
      <c r="G318" s="6" t="s">
        <v>33</v>
      </c>
      <c r="H318" s="7">
        <v>45239.0</v>
      </c>
      <c r="I318" s="8">
        <v>251.0</v>
      </c>
      <c r="J318" s="8">
        <v>30.91</v>
      </c>
      <c r="K318" s="8">
        <v>82.77</v>
      </c>
      <c r="O318" s="14">
        <f t="shared" si="1"/>
        <v>251</v>
      </c>
      <c r="P318" s="14">
        <f t="shared" si="2"/>
        <v>30.91</v>
      </c>
    </row>
    <row r="319">
      <c r="B319" s="6" t="s">
        <v>355</v>
      </c>
      <c r="C319" s="6" t="s">
        <v>14</v>
      </c>
      <c r="D319" s="6" t="s">
        <v>31</v>
      </c>
      <c r="E319" s="6" t="s">
        <v>22</v>
      </c>
      <c r="F319" s="6" t="s">
        <v>17</v>
      </c>
      <c r="G319" s="6" t="s">
        <v>18</v>
      </c>
      <c r="H319" s="7">
        <v>45240.0</v>
      </c>
      <c r="I319" s="6"/>
      <c r="J319" s="8">
        <v>192.35</v>
      </c>
      <c r="K319" s="8">
        <v>227.09</v>
      </c>
      <c r="O319" s="14">
        <f t="shared" si="1"/>
        <v>49</v>
      </c>
      <c r="P319" s="14">
        <f t="shared" si="2"/>
        <v>192.35</v>
      </c>
    </row>
    <row r="320">
      <c r="B320" s="6" t="s">
        <v>356</v>
      </c>
      <c r="C320" s="6" t="s">
        <v>14</v>
      </c>
      <c r="D320" s="6" t="s">
        <v>31</v>
      </c>
      <c r="E320" s="6" t="s">
        <v>16</v>
      </c>
      <c r="F320" s="6" t="s">
        <v>17</v>
      </c>
      <c r="G320" s="6" t="s">
        <v>18</v>
      </c>
      <c r="H320" s="7">
        <v>45241.0</v>
      </c>
      <c r="I320" s="8">
        <v>11.0</v>
      </c>
      <c r="J320" s="8">
        <v>184.66</v>
      </c>
      <c r="K320" s="8">
        <v>391.9</v>
      </c>
      <c r="O320" s="14">
        <f t="shared" si="1"/>
        <v>11</v>
      </c>
      <c r="P320" s="14">
        <f t="shared" si="2"/>
        <v>184.66</v>
      </c>
    </row>
    <row r="321">
      <c r="B321" s="6" t="s">
        <v>357</v>
      </c>
      <c r="C321" s="6" t="s">
        <v>20</v>
      </c>
      <c r="D321" s="6" t="s">
        <v>31</v>
      </c>
      <c r="E321" s="6" t="s">
        <v>27</v>
      </c>
      <c r="F321" s="6" t="s">
        <v>17</v>
      </c>
      <c r="G321" s="6" t="s">
        <v>33</v>
      </c>
      <c r="H321" s="7">
        <v>45242.0</v>
      </c>
      <c r="I321" s="8">
        <v>234.0</v>
      </c>
      <c r="J321" s="8">
        <v>497.76</v>
      </c>
      <c r="K321" s="8">
        <v>67.79</v>
      </c>
      <c r="O321" s="14">
        <f t="shared" si="1"/>
        <v>234</v>
      </c>
      <c r="P321" s="14">
        <f t="shared" si="2"/>
        <v>497.76</v>
      </c>
    </row>
    <row r="322">
      <c r="B322" s="6" t="s">
        <v>358</v>
      </c>
      <c r="C322" s="6" t="s">
        <v>14</v>
      </c>
      <c r="D322" s="6" t="s">
        <v>63</v>
      </c>
      <c r="E322" s="6" t="s">
        <v>27</v>
      </c>
      <c r="F322" s="6" t="s">
        <v>17</v>
      </c>
      <c r="G322" s="6" t="s">
        <v>23</v>
      </c>
      <c r="H322" s="7">
        <v>45243.0</v>
      </c>
      <c r="I322" s="6"/>
      <c r="J322" s="8">
        <v>225.94</v>
      </c>
      <c r="K322" s="8">
        <v>280.7</v>
      </c>
      <c r="O322" s="14">
        <f t="shared" si="1"/>
        <v>49</v>
      </c>
      <c r="P322" s="14">
        <f t="shared" si="2"/>
        <v>225.94</v>
      </c>
    </row>
    <row r="323">
      <c r="B323" s="6" t="s">
        <v>359</v>
      </c>
      <c r="C323" s="6" t="s">
        <v>26</v>
      </c>
      <c r="D323" s="6" t="s">
        <v>39</v>
      </c>
      <c r="E323" s="6" t="s">
        <v>55</v>
      </c>
      <c r="F323" s="6" t="s">
        <v>17</v>
      </c>
      <c r="G323" s="6" t="s">
        <v>23</v>
      </c>
      <c r="H323" s="7">
        <v>45244.0</v>
      </c>
      <c r="I323" s="8">
        <v>242.0</v>
      </c>
      <c r="J323" s="8">
        <v>170.12</v>
      </c>
      <c r="K323" s="8">
        <v>235.15</v>
      </c>
      <c r="O323" s="14">
        <f t="shared" si="1"/>
        <v>242</v>
      </c>
      <c r="P323" s="14">
        <f t="shared" si="2"/>
        <v>170.12</v>
      </c>
    </row>
    <row r="324">
      <c r="B324" s="6" t="s">
        <v>360</v>
      </c>
      <c r="C324" s="6" t="s">
        <v>14</v>
      </c>
      <c r="D324" s="6" t="s">
        <v>63</v>
      </c>
      <c r="E324" s="6" t="s">
        <v>32</v>
      </c>
      <c r="F324" s="6" t="s">
        <v>17</v>
      </c>
      <c r="G324" s="6" t="s">
        <v>18</v>
      </c>
      <c r="H324" s="7">
        <v>45245.0</v>
      </c>
      <c r="I324" s="8">
        <v>470.0</v>
      </c>
      <c r="J324" s="8">
        <v>292.34</v>
      </c>
      <c r="K324" s="8">
        <v>235.42</v>
      </c>
      <c r="O324" s="14">
        <f t="shared" si="1"/>
        <v>470</v>
      </c>
      <c r="P324" s="14">
        <f t="shared" si="2"/>
        <v>292.34</v>
      </c>
    </row>
    <row r="325">
      <c r="B325" s="6" t="s">
        <v>361</v>
      </c>
      <c r="C325" s="6" t="s">
        <v>61</v>
      </c>
      <c r="D325" s="6" t="s">
        <v>39</v>
      </c>
      <c r="E325" s="6" t="s">
        <v>32</v>
      </c>
      <c r="F325" s="6" t="s">
        <v>28</v>
      </c>
      <c r="G325" s="6" t="s">
        <v>18</v>
      </c>
      <c r="H325" s="7">
        <v>45246.0</v>
      </c>
      <c r="I325" s="8">
        <v>423.0</v>
      </c>
      <c r="J325" s="8">
        <v>48.94</v>
      </c>
      <c r="K325" s="8">
        <v>279.67</v>
      </c>
      <c r="O325" s="14">
        <f t="shared" si="1"/>
        <v>423</v>
      </c>
      <c r="P325" s="14">
        <f t="shared" si="2"/>
        <v>48.94</v>
      </c>
    </row>
    <row r="326">
      <c r="B326" s="6" t="s">
        <v>362</v>
      </c>
      <c r="C326" s="6" t="s">
        <v>20</v>
      </c>
      <c r="D326" s="6" t="s">
        <v>39</v>
      </c>
      <c r="E326" s="6" t="s">
        <v>16</v>
      </c>
      <c r="F326" s="6" t="s">
        <v>17</v>
      </c>
      <c r="G326" s="6" t="s">
        <v>23</v>
      </c>
      <c r="H326" s="7">
        <v>45247.0</v>
      </c>
      <c r="I326" s="8">
        <v>426.0</v>
      </c>
      <c r="J326" s="8">
        <v>481.02</v>
      </c>
      <c r="K326" s="8">
        <v>371.99</v>
      </c>
      <c r="O326" s="14">
        <f t="shared" si="1"/>
        <v>426</v>
      </c>
      <c r="P326" s="14">
        <f t="shared" si="2"/>
        <v>481.02</v>
      </c>
    </row>
    <row r="327">
      <c r="B327" s="6" t="s">
        <v>363</v>
      </c>
      <c r="C327" s="6" t="s">
        <v>26</v>
      </c>
      <c r="D327" s="6" t="s">
        <v>31</v>
      </c>
      <c r="E327" s="6" t="s">
        <v>32</v>
      </c>
      <c r="F327" s="6" t="s">
        <v>28</v>
      </c>
      <c r="G327" s="6" t="s">
        <v>33</v>
      </c>
      <c r="H327" s="7">
        <v>45248.0</v>
      </c>
      <c r="I327" s="8">
        <v>86.0</v>
      </c>
      <c r="J327" s="8">
        <v>319.31</v>
      </c>
      <c r="K327" s="8">
        <v>313.47</v>
      </c>
      <c r="O327" s="14">
        <f t="shared" si="1"/>
        <v>86</v>
      </c>
      <c r="P327" s="14">
        <f t="shared" si="2"/>
        <v>319.31</v>
      </c>
    </row>
    <row r="328">
      <c r="B328" s="6" t="s">
        <v>364</v>
      </c>
      <c r="C328" s="6" t="s">
        <v>20</v>
      </c>
      <c r="D328" s="6" t="s">
        <v>15</v>
      </c>
      <c r="E328" s="6" t="s">
        <v>22</v>
      </c>
      <c r="F328" s="6" t="s">
        <v>28</v>
      </c>
      <c r="G328" s="6" t="s">
        <v>18</v>
      </c>
      <c r="H328" s="7">
        <v>45249.0</v>
      </c>
      <c r="I328" s="8">
        <v>125.0</v>
      </c>
      <c r="J328" s="8">
        <v>378.64</v>
      </c>
      <c r="K328" s="8">
        <v>24.34</v>
      </c>
      <c r="O328" s="14">
        <f t="shared" si="1"/>
        <v>125</v>
      </c>
      <c r="P328" s="14">
        <f t="shared" si="2"/>
        <v>378.64</v>
      </c>
    </row>
    <row r="329">
      <c r="B329" s="6" t="s">
        <v>365</v>
      </c>
      <c r="C329" s="6" t="s">
        <v>61</v>
      </c>
      <c r="D329" s="6" t="s">
        <v>21</v>
      </c>
      <c r="E329" s="6"/>
      <c r="F329" s="6" t="s">
        <v>17</v>
      </c>
      <c r="G329" s="6" t="s">
        <v>18</v>
      </c>
      <c r="H329" s="7">
        <v>45250.0</v>
      </c>
      <c r="I329" s="8">
        <v>163.0</v>
      </c>
      <c r="J329" s="8">
        <v>89.39</v>
      </c>
      <c r="K329" s="8">
        <v>341.39</v>
      </c>
      <c r="O329" s="14">
        <f t="shared" si="1"/>
        <v>163</v>
      </c>
      <c r="P329" s="14">
        <f t="shared" si="2"/>
        <v>89.39</v>
      </c>
    </row>
    <row r="330">
      <c r="B330" s="6" t="s">
        <v>366</v>
      </c>
      <c r="C330" s="6" t="s">
        <v>61</v>
      </c>
      <c r="D330" s="6" t="s">
        <v>31</v>
      </c>
      <c r="E330" s="6" t="s">
        <v>16</v>
      </c>
      <c r="F330" s="6" t="s">
        <v>28</v>
      </c>
      <c r="G330" s="6" t="s">
        <v>23</v>
      </c>
      <c r="H330" s="7">
        <v>45251.0</v>
      </c>
      <c r="I330" s="8">
        <v>415.0</v>
      </c>
      <c r="J330" s="8">
        <v>207.69</v>
      </c>
      <c r="K330" s="8">
        <v>91.77</v>
      </c>
      <c r="O330" s="14">
        <f t="shared" si="1"/>
        <v>415</v>
      </c>
      <c r="P330" s="14">
        <f t="shared" si="2"/>
        <v>207.69</v>
      </c>
    </row>
    <row r="331">
      <c r="B331" s="6" t="s">
        <v>367</v>
      </c>
      <c r="C331" s="6" t="s">
        <v>61</v>
      </c>
      <c r="D331" s="6" t="s">
        <v>31</v>
      </c>
      <c r="E331" s="6" t="s">
        <v>32</v>
      </c>
      <c r="F331" s="6" t="s">
        <v>28</v>
      </c>
      <c r="G331" s="6" t="s">
        <v>33</v>
      </c>
      <c r="H331" s="7">
        <v>45252.0</v>
      </c>
      <c r="I331" s="8">
        <v>112.0</v>
      </c>
      <c r="J331" s="8">
        <v>214.23</v>
      </c>
      <c r="K331" s="8">
        <v>152.01</v>
      </c>
      <c r="O331" s="14">
        <f t="shared" si="1"/>
        <v>112</v>
      </c>
      <c r="P331" s="14">
        <f t="shared" si="2"/>
        <v>214.23</v>
      </c>
    </row>
    <row r="332">
      <c r="B332" s="6" t="s">
        <v>368</v>
      </c>
      <c r="C332" s="6" t="s">
        <v>14</v>
      </c>
      <c r="D332" s="6" t="s">
        <v>15</v>
      </c>
      <c r="E332" s="6" t="s">
        <v>22</v>
      </c>
      <c r="F332" s="6" t="s">
        <v>28</v>
      </c>
      <c r="G332" s="6" t="s">
        <v>23</v>
      </c>
      <c r="H332" s="7">
        <v>45253.0</v>
      </c>
      <c r="I332" s="8">
        <v>203.0</v>
      </c>
      <c r="J332" s="8">
        <v>411.79</v>
      </c>
      <c r="K332" s="8">
        <v>185.77</v>
      </c>
      <c r="O332" s="14">
        <f t="shared" si="1"/>
        <v>203</v>
      </c>
      <c r="P332" s="14">
        <f t="shared" si="2"/>
        <v>411.79</v>
      </c>
    </row>
    <row r="333">
      <c r="B333" s="6" t="s">
        <v>369</v>
      </c>
      <c r="C333" s="6" t="s">
        <v>14</v>
      </c>
      <c r="D333" s="6" t="s">
        <v>21</v>
      </c>
      <c r="E333" s="6" t="s">
        <v>55</v>
      </c>
      <c r="F333" s="6" t="s">
        <v>28</v>
      </c>
      <c r="G333" s="6" t="s">
        <v>33</v>
      </c>
      <c r="H333" s="7">
        <v>45254.0</v>
      </c>
      <c r="I333" s="6"/>
      <c r="J333" s="8">
        <v>5.61</v>
      </c>
      <c r="K333" s="8">
        <v>193.4</v>
      </c>
      <c r="O333" s="14">
        <f t="shared" si="1"/>
        <v>49</v>
      </c>
      <c r="P333" s="14">
        <f t="shared" si="2"/>
        <v>5.61</v>
      </c>
    </row>
    <row r="334">
      <c r="B334" s="6" t="s">
        <v>370</v>
      </c>
      <c r="C334" s="6" t="s">
        <v>20</v>
      </c>
      <c r="D334" s="6" t="s">
        <v>63</v>
      </c>
      <c r="E334" s="6" t="s">
        <v>16</v>
      </c>
      <c r="F334" s="6" t="s">
        <v>28</v>
      </c>
      <c r="G334" s="6" t="s">
        <v>33</v>
      </c>
      <c r="H334" s="7">
        <v>45255.0</v>
      </c>
      <c r="I334" s="8">
        <v>368.0</v>
      </c>
      <c r="J334" s="8">
        <v>153.92</v>
      </c>
      <c r="K334" s="8">
        <v>175.2</v>
      </c>
      <c r="O334" s="14">
        <f t="shared" si="1"/>
        <v>368</v>
      </c>
      <c r="P334" s="14">
        <f t="shared" si="2"/>
        <v>153.92</v>
      </c>
    </row>
    <row r="335">
      <c r="B335" s="6" t="s">
        <v>371</v>
      </c>
      <c r="C335" s="6" t="s">
        <v>20</v>
      </c>
      <c r="D335" s="6" t="s">
        <v>63</v>
      </c>
      <c r="E335" s="6" t="s">
        <v>55</v>
      </c>
      <c r="F335" s="6" t="s">
        <v>28</v>
      </c>
      <c r="G335" s="6" t="s">
        <v>33</v>
      </c>
      <c r="H335" s="7">
        <v>45256.0</v>
      </c>
      <c r="I335" s="8">
        <v>99.0</v>
      </c>
      <c r="J335" s="8">
        <v>490.71</v>
      </c>
      <c r="K335" s="8">
        <v>375.07</v>
      </c>
      <c r="O335" s="14">
        <f t="shared" si="1"/>
        <v>99</v>
      </c>
      <c r="P335" s="14">
        <f t="shared" si="2"/>
        <v>490.71</v>
      </c>
    </row>
    <row r="336">
      <c r="B336" s="6" t="s">
        <v>372</v>
      </c>
      <c r="C336" s="6" t="s">
        <v>26</v>
      </c>
      <c r="D336" s="6" t="s">
        <v>31</v>
      </c>
      <c r="E336" s="6" t="s">
        <v>55</v>
      </c>
      <c r="F336" s="6" t="s">
        <v>17</v>
      </c>
      <c r="G336" s="6" t="s">
        <v>18</v>
      </c>
      <c r="H336" s="7">
        <v>45257.0</v>
      </c>
      <c r="I336" s="8">
        <v>183.0</v>
      </c>
      <c r="J336" s="8">
        <v>240.07</v>
      </c>
      <c r="K336" s="8">
        <v>283.0</v>
      </c>
      <c r="O336" s="14">
        <f t="shared" si="1"/>
        <v>183</v>
      </c>
      <c r="P336" s="14">
        <f t="shared" si="2"/>
        <v>240.07</v>
      </c>
    </row>
    <row r="337">
      <c r="B337" s="6" t="s">
        <v>373</v>
      </c>
      <c r="C337" s="6" t="str">
        <f>IF(C5="", "Sub-Saharan Africa", C5)
</f>
        <v>Region</v>
      </c>
      <c r="D337" s="6" t="s">
        <v>21</v>
      </c>
      <c r="E337" s="6" t="s">
        <v>55</v>
      </c>
      <c r="F337" s="6" t="s">
        <v>28</v>
      </c>
      <c r="G337" s="6" t="s">
        <v>23</v>
      </c>
      <c r="H337" s="7">
        <v>45258.0</v>
      </c>
      <c r="I337" s="8">
        <v>131.0</v>
      </c>
      <c r="J337" s="8">
        <v>194.35</v>
      </c>
      <c r="K337" s="8">
        <v>253.21</v>
      </c>
      <c r="O337" s="14">
        <f t="shared" si="1"/>
        <v>131</v>
      </c>
      <c r="P337" s="14">
        <f t="shared" si="2"/>
        <v>194.35</v>
      </c>
    </row>
    <row r="338">
      <c r="B338" s="6" t="s">
        <v>374</v>
      </c>
      <c r="C338" s="6" t="s">
        <v>20</v>
      </c>
      <c r="D338" s="6" t="s">
        <v>31</v>
      </c>
      <c r="E338" s="6" t="s">
        <v>27</v>
      </c>
      <c r="F338" s="6" t="s">
        <v>28</v>
      </c>
      <c r="G338" s="6" t="s">
        <v>23</v>
      </c>
      <c r="H338" s="7">
        <v>45259.0</v>
      </c>
      <c r="I338" s="8">
        <v>152.0</v>
      </c>
      <c r="J338" s="8">
        <v>64.32</v>
      </c>
      <c r="K338" s="8">
        <v>21.84</v>
      </c>
      <c r="O338" s="14">
        <f t="shared" si="1"/>
        <v>152</v>
      </c>
      <c r="P338" s="14">
        <f t="shared" si="2"/>
        <v>64.32</v>
      </c>
    </row>
    <row r="339">
      <c r="B339" s="6" t="s">
        <v>375</v>
      </c>
      <c r="C339" s="6" t="s">
        <v>14</v>
      </c>
      <c r="D339" s="6" t="s">
        <v>39</v>
      </c>
      <c r="E339" s="6" t="s">
        <v>27</v>
      </c>
      <c r="F339" s="6" t="s">
        <v>28</v>
      </c>
      <c r="G339" s="6" t="s">
        <v>33</v>
      </c>
      <c r="H339" s="7">
        <v>45260.0</v>
      </c>
      <c r="I339" s="8">
        <v>491.0</v>
      </c>
      <c r="J339" s="8">
        <v>487.21</v>
      </c>
      <c r="K339" s="8">
        <v>361.76</v>
      </c>
      <c r="O339" s="14">
        <f t="shared" si="1"/>
        <v>491</v>
      </c>
      <c r="P339" s="14">
        <f t="shared" si="2"/>
        <v>487.21</v>
      </c>
    </row>
    <row r="340">
      <c r="B340" s="6" t="s">
        <v>376</v>
      </c>
      <c r="C340" s="6" t="s">
        <v>61</v>
      </c>
      <c r="D340" s="6" t="s">
        <v>31</v>
      </c>
      <c r="E340" s="6" t="s">
        <v>55</v>
      </c>
      <c r="F340" s="6" t="s">
        <v>17</v>
      </c>
      <c r="G340" s="6" t="s">
        <v>18</v>
      </c>
      <c r="H340" s="7">
        <v>45261.0</v>
      </c>
      <c r="I340" s="8">
        <v>115.0</v>
      </c>
      <c r="J340" s="8">
        <v>14.91</v>
      </c>
      <c r="K340" s="8">
        <v>363.94</v>
      </c>
      <c r="O340" s="14">
        <f t="shared" si="1"/>
        <v>115</v>
      </c>
      <c r="P340" s="14">
        <f t="shared" si="2"/>
        <v>14.91</v>
      </c>
    </row>
    <row r="341">
      <c r="B341" s="6" t="s">
        <v>377</v>
      </c>
      <c r="C341" s="6" t="s">
        <v>20</v>
      </c>
      <c r="D341" s="6" t="s">
        <v>31</v>
      </c>
      <c r="E341" s="6" t="s">
        <v>16</v>
      </c>
      <c r="F341" s="6" t="s">
        <v>28</v>
      </c>
      <c r="G341" s="6" t="s">
        <v>18</v>
      </c>
      <c r="H341" s="7">
        <v>45262.0</v>
      </c>
      <c r="I341" s="8">
        <v>384.0</v>
      </c>
      <c r="J341" s="8">
        <v>369.9</v>
      </c>
      <c r="K341" s="8">
        <v>312.52</v>
      </c>
      <c r="O341" s="14">
        <f t="shared" si="1"/>
        <v>384</v>
      </c>
      <c r="P341" s="14">
        <f t="shared" si="2"/>
        <v>369.9</v>
      </c>
    </row>
    <row r="342">
      <c r="B342" s="6" t="s">
        <v>378</v>
      </c>
      <c r="C342" s="6" t="s">
        <v>26</v>
      </c>
      <c r="D342" s="6" t="s">
        <v>63</v>
      </c>
      <c r="E342" s="6" t="s">
        <v>22</v>
      </c>
      <c r="F342" s="6" t="s">
        <v>17</v>
      </c>
      <c r="G342" s="6" t="s">
        <v>23</v>
      </c>
      <c r="H342" s="7">
        <v>45263.0</v>
      </c>
      <c r="I342" s="8">
        <v>437.0</v>
      </c>
      <c r="J342" s="8">
        <v>385.46</v>
      </c>
      <c r="K342" s="8">
        <v>4.8</v>
      </c>
      <c r="O342" s="14">
        <f t="shared" si="1"/>
        <v>437</v>
      </c>
      <c r="P342" s="14">
        <f t="shared" si="2"/>
        <v>385.46</v>
      </c>
    </row>
    <row r="343">
      <c r="B343" s="6" t="s">
        <v>379</v>
      </c>
      <c r="C343" s="6" t="s">
        <v>14</v>
      </c>
      <c r="D343" s="6" t="s">
        <v>63</v>
      </c>
      <c r="E343" s="6" t="s">
        <v>22</v>
      </c>
      <c r="F343" s="6" t="s">
        <v>28</v>
      </c>
      <c r="G343" s="6" t="s">
        <v>18</v>
      </c>
      <c r="H343" s="7">
        <v>45264.0</v>
      </c>
      <c r="I343" s="8">
        <v>314.0</v>
      </c>
      <c r="J343" s="8">
        <v>125.61</v>
      </c>
      <c r="K343" s="8">
        <v>24.8</v>
      </c>
      <c r="O343" s="14">
        <f t="shared" si="1"/>
        <v>314</v>
      </c>
      <c r="P343" s="14">
        <f t="shared" si="2"/>
        <v>125.61</v>
      </c>
    </row>
    <row r="344">
      <c r="B344" s="6" t="s">
        <v>380</v>
      </c>
      <c r="C344" s="6" t="s">
        <v>20</v>
      </c>
      <c r="D344" s="6" t="s">
        <v>63</v>
      </c>
      <c r="E344" s="6" t="s">
        <v>32</v>
      </c>
      <c r="F344" s="6" t="s">
        <v>17</v>
      </c>
      <c r="G344" s="6" t="s">
        <v>18</v>
      </c>
      <c r="H344" s="7">
        <v>45265.0</v>
      </c>
      <c r="I344" s="8">
        <v>369.0</v>
      </c>
      <c r="J344" s="8">
        <v>337.42</v>
      </c>
      <c r="K344" s="8">
        <v>91.64</v>
      </c>
      <c r="O344" s="14">
        <f t="shared" si="1"/>
        <v>369</v>
      </c>
      <c r="P344" s="14">
        <f t="shared" si="2"/>
        <v>337.42</v>
      </c>
    </row>
    <row r="345">
      <c r="B345" s="6" t="s">
        <v>381</v>
      </c>
      <c r="C345" s="6" t="s">
        <v>20</v>
      </c>
      <c r="D345" s="6" t="s">
        <v>39</v>
      </c>
      <c r="E345" s="6" t="s">
        <v>16</v>
      </c>
      <c r="F345" s="6" t="s">
        <v>17</v>
      </c>
      <c r="G345" s="6" t="s">
        <v>33</v>
      </c>
      <c r="H345" s="7">
        <v>45266.0</v>
      </c>
      <c r="I345" s="8">
        <v>468.0</v>
      </c>
      <c r="J345" s="8">
        <v>51.0</v>
      </c>
      <c r="K345" s="8">
        <v>54.28</v>
      </c>
      <c r="O345" s="14">
        <f t="shared" si="1"/>
        <v>468</v>
      </c>
      <c r="P345" s="14">
        <f t="shared" si="2"/>
        <v>51</v>
      </c>
    </row>
    <row r="346">
      <c r="B346" s="6" t="s">
        <v>382</v>
      </c>
      <c r="C346" s="6" t="s">
        <v>14</v>
      </c>
      <c r="D346" s="6" t="s">
        <v>63</v>
      </c>
      <c r="E346" s="6" t="s">
        <v>27</v>
      </c>
      <c r="F346" s="6" t="s">
        <v>28</v>
      </c>
      <c r="G346" s="6" t="s">
        <v>18</v>
      </c>
      <c r="H346" s="7">
        <v>45267.0</v>
      </c>
      <c r="I346" s="8">
        <v>326.0</v>
      </c>
      <c r="J346" s="8">
        <v>132.24</v>
      </c>
      <c r="K346" s="8">
        <v>160.74</v>
      </c>
      <c r="O346" s="14">
        <f t="shared" si="1"/>
        <v>326</v>
      </c>
      <c r="P346" s="14">
        <f t="shared" si="2"/>
        <v>132.24</v>
      </c>
    </row>
    <row r="347">
      <c r="B347" s="6" t="s">
        <v>383</v>
      </c>
      <c r="C347" s="6" t="s">
        <v>20</v>
      </c>
      <c r="D347" s="6" t="s">
        <v>21</v>
      </c>
      <c r="E347" s="6" t="s">
        <v>55</v>
      </c>
      <c r="F347" s="6" t="s">
        <v>28</v>
      </c>
      <c r="G347" s="6" t="s">
        <v>33</v>
      </c>
      <c r="H347" s="7">
        <v>45268.0</v>
      </c>
      <c r="I347" s="8">
        <v>460.0</v>
      </c>
      <c r="J347" s="8">
        <v>395.01</v>
      </c>
      <c r="K347" s="8">
        <v>369.2</v>
      </c>
      <c r="O347" s="14">
        <f t="shared" si="1"/>
        <v>460</v>
      </c>
      <c r="P347" s="14">
        <f t="shared" si="2"/>
        <v>395.01</v>
      </c>
    </row>
    <row r="348">
      <c r="B348" s="6" t="s">
        <v>384</v>
      </c>
      <c r="C348" s="6" t="s">
        <v>14</v>
      </c>
      <c r="D348" s="6" t="s">
        <v>15</v>
      </c>
      <c r="E348" s="6" t="s">
        <v>32</v>
      </c>
      <c r="F348" s="6" t="s">
        <v>17</v>
      </c>
      <c r="G348" s="6" t="s">
        <v>23</v>
      </c>
      <c r="H348" s="7">
        <v>45269.0</v>
      </c>
      <c r="I348" s="8">
        <v>132.0</v>
      </c>
      <c r="J348" s="8">
        <v>433.02</v>
      </c>
      <c r="K348" s="8">
        <v>189.88</v>
      </c>
      <c r="O348" s="14">
        <f t="shared" si="1"/>
        <v>132</v>
      </c>
      <c r="P348" s="14">
        <f t="shared" si="2"/>
        <v>433.02</v>
      </c>
    </row>
    <row r="349">
      <c r="B349" s="6" t="s">
        <v>385</v>
      </c>
      <c r="C349" s="6" t="s">
        <v>61</v>
      </c>
      <c r="D349" s="6" t="s">
        <v>21</v>
      </c>
      <c r="E349" s="6" t="s">
        <v>22</v>
      </c>
      <c r="F349" s="6" t="s">
        <v>28</v>
      </c>
      <c r="G349" s="6" t="s">
        <v>18</v>
      </c>
      <c r="H349" s="7">
        <v>45270.0</v>
      </c>
      <c r="I349" s="8">
        <v>399.0</v>
      </c>
      <c r="J349" s="8">
        <v>306.2</v>
      </c>
      <c r="K349" s="8">
        <v>7.33</v>
      </c>
      <c r="O349" s="14">
        <f t="shared" si="1"/>
        <v>399</v>
      </c>
      <c r="P349" s="14">
        <f t="shared" si="2"/>
        <v>306.2</v>
      </c>
    </row>
    <row r="350">
      <c r="B350" s="6" t="s">
        <v>386</v>
      </c>
      <c r="C350" s="6" t="s">
        <v>14</v>
      </c>
      <c r="D350" s="6" t="s">
        <v>21</v>
      </c>
      <c r="E350" s="6" t="s">
        <v>27</v>
      </c>
      <c r="F350" s="6" t="s">
        <v>17</v>
      </c>
      <c r="G350" s="6" t="s">
        <v>23</v>
      </c>
      <c r="H350" s="7">
        <v>45271.0</v>
      </c>
      <c r="I350" s="8">
        <v>18.0</v>
      </c>
      <c r="J350" s="8">
        <v>255.89</v>
      </c>
      <c r="K350" s="8">
        <v>114.53</v>
      </c>
      <c r="O350" s="14">
        <f t="shared" si="1"/>
        <v>18</v>
      </c>
      <c r="P350" s="14">
        <f t="shared" si="2"/>
        <v>255.89</v>
      </c>
    </row>
    <row r="351">
      <c r="B351" s="6" t="s">
        <v>387</v>
      </c>
      <c r="C351" s="6" t="s">
        <v>14</v>
      </c>
      <c r="D351" s="6" t="s">
        <v>63</v>
      </c>
      <c r="E351" s="6" t="s">
        <v>27</v>
      </c>
      <c r="F351" s="6" t="s">
        <v>17</v>
      </c>
      <c r="G351" s="6" t="s">
        <v>23</v>
      </c>
      <c r="H351" s="7">
        <v>45272.0</v>
      </c>
      <c r="I351" s="8">
        <v>271.0</v>
      </c>
      <c r="J351" s="8">
        <v>83.86</v>
      </c>
      <c r="K351" s="8">
        <v>19.75</v>
      </c>
      <c r="O351" s="14">
        <f t="shared" si="1"/>
        <v>271</v>
      </c>
      <c r="P351" s="14">
        <f t="shared" si="2"/>
        <v>83.86</v>
      </c>
    </row>
    <row r="352">
      <c r="B352" s="6" t="s">
        <v>388</v>
      </c>
      <c r="C352" s="6"/>
      <c r="D352" s="6" t="s">
        <v>15</v>
      </c>
      <c r="E352" s="6" t="s">
        <v>55</v>
      </c>
      <c r="F352" s="6" t="s">
        <v>17</v>
      </c>
      <c r="G352" s="6" t="s">
        <v>18</v>
      </c>
      <c r="H352" s="7">
        <v>45273.0</v>
      </c>
      <c r="I352" s="8">
        <v>82.0</v>
      </c>
      <c r="J352" s="8">
        <v>36.24</v>
      </c>
      <c r="K352" s="8">
        <v>16.44</v>
      </c>
      <c r="O352" s="14">
        <f t="shared" si="1"/>
        <v>82</v>
      </c>
      <c r="P352" s="14">
        <f t="shared" si="2"/>
        <v>36.24</v>
      </c>
    </row>
    <row r="353">
      <c r="B353" s="6" t="s">
        <v>389</v>
      </c>
      <c r="C353" s="6" t="s">
        <v>20</v>
      </c>
      <c r="D353" s="6" t="s">
        <v>15</v>
      </c>
      <c r="E353" s="6" t="s">
        <v>22</v>
      </c>
      <c r="F353" s="6" t="s">
        <v>17</v>
      </c>
      <c r="G353" s="6" t="s">
        <v>18</v>
      </c>
      <c r="H353" s="7">
        <v>45274.0</v>
      </c>
      <c r="I353" s="8">
        <v>368.0</v>
      </c>
      <c r="J353" s="8">
        <v>63.24</v>
      </c>
      <c r="K353" s="8">
        <v>111.74</v>
      </c>
      <c r="O353" s="14">
        <f t="shared" si="1"/>
        <v>368</v>
      </c>
      <c r="P353" s="14">
        <f t="shared" si="2"/>
        <v>63.24</v>
      </c>
    </row>
    <row r="354">
      <c r="B354" s="6" t="s">
        <v>390</v>
      </c>
      <c r="C354" s="6" t="s">
        <v>20</v>
      </c>
      <c r="D354" s="6" t="s">
        <v>15</v>
      </c>
      <c r="E354" s="6" t="s">
        <v>16</v>
      </c>
      <c r="F354" s="6" t="s">
        <v>17</v>
      </c>
      <c r="G354" s="6" t="s">
        <v>23</v>
      </c>
      <c r="H354" s="7">
        <v>45275.0</v>
      </c>
      <c r="I354" s="8">
        <v>232.0</v>
      </c>
      <c r="J354" s="8">
        <v>117.54</v>
      </c>
      <c r="K354" s="8">
        <v>111.69</v>
      </c>
      <c r="O354" s="14">
        <f t="shared" si="1"/>
        <v>232</v>
      </c>
      <c r="P354" s="14">
        <f t="shared" si="2"/>
        <v>117.54</v>
      </c>
    </row>
    <row r="355">
      <c r="B355" s="6" t="s">
        <v>391</v>
      </c>
      <c r="C355" s="6" t="s">
        <v>14</v>
      </c>
      <c r="D355" s="6" t="s">
        <v>39</v>
      </c>
      <c r="E355" s="6" t="s">
        <v>27</v>
      </c>
      <c r="F355" s="6" t="s">
        <v>28</v>
      </c>
      <c r="G355" s="6" t="s">
        <v>18</v>
      </c>
      <c r="H355" s="7">
        <v>45276.0</v>
      </c>
      <c r="I355" s="8">
        <v>425.0</v>
      </c>
      <c r="J355" s="8">
        <v>174.13</v>
      </c>
      <c r="K355" s="8">
        <v>315.28</v>
      </c>
      <c r="O355" s="14">
        <f t="shared" si="1"/>
        <v>425</v>
      </c>
      <c r="P355" s="14">
        <f t="shared" si="2"/>
        <v>174.13</v>
      </c>
    </row>
  </sheetData>
  <conditionalFormatting sqref="P5:P355">
    <cfRule type="expression" dxfId="2" priority="1">
      <formula>J5=""</formula>
    </cfRule>
  </conditionalFormatting>
  <conditionalFormatting sqref="O5:O355">
    <cfRule type="expression" dxfId="3" priority="2">
      <formula>I5=""</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5" t="s">
        <v>413</v>
      </c>
      <c r="B3" s="5" t="s">
        <v>414</v>
      </c>
      <c r="C3" s="23"/>
      <c r="D3" s="23"/>
      <c r="E3" s="23"/>
      <c r="F3" s="24"/>
    </row>
    <row r="4">
      <c r="L4" s="25" t="s">
        <v>415</v>
      </c>
    </row>
    <row r="5">
      <c r="A5" s="15" t="s">
        <v>12</v>
      </c>
      <c r="B5" s="4" t="s">
        <v>2</v>
      </c>
      <c r="C5" s="4" t="s">
        <v>3</v>
      </c>
      <c r="D5" s="4" t="s">
        <v>4</v>
      </c>
      <c r="E5" s="4" t="s">
        <v>5</v>
      </c>
      <c r="F5" s="4" t="s">
        <v>6</v>
      </c>
      <c r="G5" s="4" t="s">
        <v>7</v>
      </c>
      <c r="H5" s="4" t="s">
        <v>8</v>
      </c>
      <c r="I5" s="4" t="s">
        <v>9</v>
      </c>
      <c r="J5" s="4" t="s">
        <v>10</v>
      </c>
      <c r="K5" s="4" t="s">
        <v>11</v>
      </c>
      <c r="L5" s="26" t="s">
        <v>416</v>
      </c>
    </row>
    <row r="6">
      <c r="B6" s="6" t="s">
        <v>13</v>
      </c>
      <c r="C6" s="6" t="s">
        <v>14</v>
      </c>
      <c r="D6" s="6" t="s">
        <v>15</v>
      </c>
      <c r="E6" s="6" t="s">
        <v>16</v>
      </c>
      <c r="F6" s="6" t="s">
        <v>17</v>
      </c>
      <c r="G6" s="6" t="s">
        <v>18</v>
      </c>
      <c r="H6" s="7">
        <v>44927.0</v>
      </c>
      <c r="I6" s="8">
        <v>235.0</v>
      </c>
      <c r="J6" s="8">
        <v>152.92</v>
      </c>
      <c r="K6" s="8">
        <v>153.6</v>
      </c>
      <c r="L6" s="26">
        <f t="shared" ref="L6:L355" si="1">I6 * J6</f>
        <v>35936.2</v>
      </c>
      <c r="N6" s="9"/>
      <c r="O6" s="9"/>
      <c r="P6" s="9"/>
      <c r="Q6" s="9"/>
      <c r="R6" s="9"/>
    </row>
    <row r="7">
      <c r="B7" s="6" t="s">
        <v>19</v>
      </c>
      <c r="C7" s="6" t="s">
        <v>20</v>
      </c>
      <c r="D7" s="6" t="s">
        <v>21</v>
      </c>
      <c r="E7" s="6" t="s">
        <v>22</v>
      </c>
      <c r="F7" s="6" t="s">
        <v>17</v>
      </c>
      <c r="G7" s="6" t="s">
        <v>23</v>
      </c>
      <c r="H7" s="7">
        <v>44928.0</v>
      </c>
      <c r="I7" s="8">
        <v>341.0</v>
      </c>
      <c r="J7" s="8">
        <v>467.92</v>
      </c>
      <c r="K7" s="8">
        <v>139.84</v>
      </c>
      <c r="L7" s="26">
        <f t="shared" si="1"/>
        <v>159560.72</v>
      </c>
      <c r="N7" s="11" t="s">
        <v>417</v>
      </c>
      <c r="O7" s="12"/>
      <c r="P7" s="12"/>
      <c r="Q7" s="12"/>
      <c r="R7" s="12"/>
    </row>
    <row r="8">
      <c r="B8" s="6" t="s">
        <v>25</v>
      </c>
      <c r="C8" s="6" t="s">
        <v>26</v>
      </c>
      <c r="D8" s="6" t="s">
        <v>21</v>
      </c>
      <c r="E8" s="6" t="s">
        <v>27</v>
      </c>
      <c r="F8" s="6" t="s">
        <v>28</v>
      </c>
      <c r="G8" s="6" t="s">
        <v>18</v>
      </c>
      <c r="H8" s="7">
        <v>44929.0</v>
      </c>
      <c r="I8" s="8">
        <v>179.0</v>
      </c>
      <c r="J8" s="8">
        <v>473.94</v>
      </c>
      <c r="K8" s="8">
        <v>97.14</v>
      </c>
      <c r="L8" s="26">
        <f t="shared" si="1"/>
        <v>84835.26</v>
      </c>
      <c r="N8" s="11" t="s">
        <v>418</v>
      </c>
      <c r="O8" s="12"/>
      <c r="P8" s="12"/>
      <c r="Q8" s="12"/>
      <c r="R8" s="12"/>
    </row>
    <row r="9">
      <c r="B9" s="6" t="s">
        <v>30</v>
      </c>
      <c r="C9" s="6" t="s">
        <v>14</v>
      </c>
      <c r="D9" s="6" t="s">
        <v>31</v>
      </c>
      <c r="E9" s="6" t="s">
        <v>32</v>
      </c>
      <c r="F9" s="6" t="s">
        <v>28</v>
      </c>
      <c r="G9" s="6" t="s">
        <v>33</v>
      </c>
      <c r="H9" s="7">
        <v>44930.0</v>
      </c>
      <c r="I9" s="8">
        <v>18.0</v>
      </c>
      <c r="J9" s="8">
        <v>314.53</v>
      </c>
      <c r="K9" s="8">
        <v>204.87</v>
      </c>
      <c r="L9" s="26">
        <f t="shared" si="1"/>
        <v>5661.54</v>
      </c>
      <c r="N9" s="11" t="s">
        <v>419</v>
      </c>
      <c r="O9" s="12"/>
      <c r="P9" s="12"/>
      <c r="Q9" s="12"/>
      <c r="R9" s="12"/>
    </row>
    <row r="10">
      <c r="B10" s="6" t="s">
        <v>36</v>
      </c>
      <c r="C10" s="6" t="s">
        <v>14</v>
      </c>
      <c r="D10" s="6" t="s">
        <v>21</v>
      </c>
      <c r="E10" s="6" t="s">
        <v>32</v>
      </c>
      <c r="F10" s="6" t="s">
        <v>28</v>
      </c>
      <c r="G10" s="6" t="s">
        <v>33</v>
      </c>
      <c r="H10" s="7">
        <v>44931.0</v>
      </c>
      <c r="I10" s="8">
        <v>472.0</v>
      </c>
      <c r="J10" s="8">
        <v>392.79</v>
      </c>
      <c r="K10" s="8">
        <v>330.46</v>
      </c>
      <c r="L10" s="26">
        <f t="shared" si="1"/>
        <v>185396.88</v>
      </c>
      <c r="N10" s="11" t="s">
        <v>420</v>
      </c>
      <c r="O10" s="12"/>
      <c r="P10" s="12"/>
      <c r="Q10" s="12"/>
      <c r="R10" s="12"/>
    </row>
    <row r="11">
      <c r="B11" s="6" t="s">
        <v>38</v>
      </c>
      <c r="C11" s="6" t="s">
        <v>20</v>
      </c>
      <c r="D11" s="6" t="s">
        <v>39</v>
      </c>
      <c r="E11" s="6" t="s">
        <v>27</v>
      </c>
      <c r="F11" s="6" t="s">
        <v>17</v>
      </c>
      <c r="G11" s="6" t="s">
        <v>18</v>
      </c>
      <c r="H11" s="7">
        <v>44932.0</v>
      </c>
      <c r="I11" s="8">
        <v>49.0</v>
      </c>
      <c r="J11" s="8">
        <v>308.07</v>
      </c>
      <c r="K11" s="8">
        <v>113.32</v>
      </c>
      <c r="L11" s="26">
        <f t="shared" si="1"/>
        <v>15095.43</v>
      </c>
      <c r="N11" s="12"/>
      <c r="O11" s="12"/>
      <c r="P11" s="12"/>
      <c r="Q11" s="12"/>
      <c r="R11" s="12"/>
    </row>
    <row r="12">
      <c r="B12" s="6" t="s">
        <v>42</v>
      </c>
      <c r="C12" s="6" t="s">
        <v>26</v>
      </c>
      <c r="D12" s="6" t="s">
        <v>15</v>
      </c>
      <c r="E12" s="6" t="s">
        <v>27</v>
      </c>
      <c r="F12" s="6" t="s">
        <v>17</v>
      </c>
      <c r="G12" s="6" t="s">
        <v>23</v>
      </c>
      <c r="H12" s="7">
        <v>44933.0</v>
      </c>
      <c r="I12" s="8">
        <v>34.0</v>
      </c>
      <c r="J12" s="8">
        <v>244.78</v>
      </c>
      <c r="K12" s="8">
        <v>377.07</v>
      </c>
      <c r="L12" s="26">
        <f t="shared" si="1"/>
        <v>8322.52</v>
      </c>
      <c r="N12" s="11" t="s">
        <v>421</v>
      </c>
      <c r="O12" s="12"/>
      <c r="P12" s="12"/>
      <c r="Q12" s="12"/>
      <c r="R12" s="12"/>
    </row>
    <row r="13">
      <c r="B13" s="6" t="s">
        <v>44</v>
      </c>
      <c r="C13" s="6" t="s">
        <v>26</v>
      </c>
      <c r="D13" s="6" t="s">
        <v>21</v>
      </c>
      <c r="E13" s="6" t="s">
        <v>16</v>
      </c>
      <c r="F13" s="6" t="s">
        <v>17</v>
      </c>
      <c r="G13" s="6" t="s">
        <v>18</v>
      </c>
      <c r="H13" s="7">
        <v>44934.0</v>
      </c>
      <c r="I13" s="8">
        <v>270.0</v>
      </c>
      <c r="J13" s="8">
        <v>332.11</v>
      </c>
      <c r="K13" s="8">
        <v>349.59</v>
      </c>
      <c r="L13" s="26">
        <f t="shared" si="1"/>
        <v>89669.7</v>
      </c>
      <c r="N13" s="11" t="s">
        <v>422</v>
      </c>
      <c r="O13" s="12"/>
      <c r="P13" s="12"/>
      <c r="Q13" s="12"/>
      <c r="R13" s="12"/>
    </row>
    <row r="14">
      <c r="B14" s="6" t="s">
        <v>45</v>
      </c>
      <c r="C14" s="6" t="s">
        <v>14</v>
      </c>
      <c r="D14" s="6" t="s">
        <v>21</v>
      </c>
      <c r="E14" s="6" t="s">
        <v>16</v>
      </c>
      <c r="F14" s="6" t="s">
        <v>17</v>
      </c>
      <c r="G14" s="6" t="s">
        <v>23</v>
      </c>
      <c r="H14" s="7">
        <v>44935.0</v>
      </c>
      <c r="I14" s="8">
        <v>404.0</v>
      </c>
      <c r="J14" s="8">
        <v>278.74</v>
      </c>
      <c r="K14" s="8">
        <v>66.38</v>
      </c>
      <c r="L14" s="26">
        <f t="shared" si="1"/>
        <v>112610.96</v>
      </c>
      <c r="N14" s="12"/>
      <c r="O14" s="12"/>
      <c r="P14" s="12"/>
      <c r="Q14" s="12"/>
      <c r="R14" s="12"/>
    </row>
    <row r="15">
      <c r="B15" s="6" t="s">
        <v>47</v>
      </c>
      <c r="C15" s="6"/>
      <c r="D15" s="6" t="s">
        <v>31</v>
      </c>
      <c r="E15" s="6" t="s">
        <v>32</v>
      </c>
      <c r="F15" s="6" t="s">
        <v>17</v>
      </c>
      <c r="G15" s="6" t="s">
        <v>33</v>
      </c>
      <c r="H15" s="7">
        <v>44936.0</v>
      </c>
      <c r="I15" s="8">
        <v>452.0</v>
      </c>
      <c r="J15" s="8">
        <v>300.75</v>
      </c>
      <c r="K15" s="8">
        <v>314.94</v>
      </c>
      <c r="L15" s="26">
        <f t="shared" si="1"/>
        <v>135939</v>
      </c>
      <c r="N15" s="11" t="s">
        <v>423</v>
      </c>
      <c r="O15" s="11"/>
      <c r="P15" s="12"/>
      <c r="Q15" s="12"/>
      <c r="R15" s="12"/>
    </row>
    <row r="16">
      <c r="B16" s="6" t="s">
        <v>49</v>
      </c>
      <c r="C16" s="6" t="s">
        <v>14</v>
      </c>
      <c r="D16" s="6" t="s">
        <v>31</v>
      </c>
      <c r="E16" s="6" t="s">
        <v>22</v>
      </c>
      <c r="F16" s="6" t="s">
        <v>17</v>
      </c>
      <c r="G16" s="6" t="s">
        <v>23</v>
      </c>
      <c r="H16" s="7">
        <v>44937.0</v>
      </c>
      <c r="I16" s="8">
        <v>235.0</v>
      </c>
      <c r="J16" s="8">
        <v>393.0</v>
      </c>
      <c r="K16" s="8">
        <v>230.69</v>
      </c>
      <c r="L16" s="26">
        <f t="shared" si="1"/>
        <v>92355</v>
      </c>
      <c r="N16" s="9"/>
      <c r="O16" s="9"/>
      <c r="P16" s="9"/>
      <c r="Q16" s="9"/>
      <c r="R16" s="9"/>
      <c r="S16" s="10"/>
    </row>
    <row r="17">
      <c r="B17" s="6" t="s">
        <v>50</v>
      </c>
      <c r="C17" s="6" t="s">
        <v>14</v>
      </c>
      <c r="D17" s="6" t="s">
        <v>39</v>
      </c>
      <c r="E17" s="6" t="s">
        <v>32</v>
      </c>
      <c r="F17" s="6" t="s">
        <v>28</v>
      </c>
      <c r="G17" s="6" t="s">
        <v>33</v>
      </c>
      <c r="H17" s="7">
        <v>44938.0</v>
      </c>
      <c r="I17" s="8">
        <v>481.0</v>
      </c>
      <c r="J17" s="8">
        <v>243.05</v>
      </c>
      <c r="K17" s="8">
        <v>227.5</v>
      </c>
      <c r="L17" s="26">
        <f t="shared" si="1"/>
        <v>116907.05</v>
      </c>
    </row>
    <row r="18">
      <c r="B18" s="6" t="s">
        <v>51</v>
      </c>
      <c r="C18" s="6" t="s">
        <v>14</v>
      </c>
      <c r="D18" s="6" t="s">
        <v>15</v>
      </c>
      <c r="E18" s="6" t="s">
        <v>22</v>
      </c>
      <c r="F18" s="6" t="s">
        <v>28</v>
      </c>
      <c r="G18" s="6" t="s">
        <v>23</v>
      </c>
      <c r="H18" s="7">
        <v>44939.0</v>
      </c>
      <c r="I18" s="8">
        <v>133.0</v>
      </c>
      <c r="J18" s="8">
        <v>25.17</v>
      </c>
      <c r="K18" s="8">
        <v>157.64</v>
      </c>
      <c r="L18" s="26">
        <f t="shared" si="1"/>
        <v>3347.61</v>
      </c>
    </row>
    <row r="19">
      <c r="B19" s="6" t="s">
        <v>52</v>
      </c>
      <c r="C19" s="6" t="s">
        <v>14</v>
      </c>
      <c r="D19" s="6" t="s">
        <v>31</v>
      </c>
      <c r="E19" s="6" t="s">
        <v>22</v>
      </c>
      <c r="F19" s="6" t="s">
        <v>28</v>
      </c>
      <c r="G19" s="6" t="s">
        <v>23</v>
      </c>
      <c r="H19" s="7">
        <v>44940.0</v>
      </c>
      <c r="I19" s="8">
        <v>472.0</v>
      </c>
      <c r="J19" s="8">
        <v>86.18</v>
      </c>
      <c r="K19" s="8">
        <v>201.46</v>
      </c>
      <c r="L19" s="26">
        <f t="shared" si="1"/>
        <v>40676.96</v>
      </c>
    </row>
    <row r="20">
      <c r="B20" s="6" t="s">
        <v>53</v>
      </c>
      <c r="C20" s="6" t="s">
        <v>20</v>
      </c>
      <c r="D20" s="6" t="s">
        <v>21</v>
      </c>
      <c r="E20" s="6" t="s">
        <v>16</v>
      </c>
      <c r="F20" s="6" t="s">
        <v>28</v>
      </c>
      <c r="G20" s="6" t="s">
        <v>23</v>
      </c>
      <c r="H20" s="7">
        <v>44941.0</v>
      </c>
      <c r="I20" s="8">
        <v>47.0</v>
      </c>
      <c r="J20" s="8">
        <v>222.11</v>
      </c>
      <c r="K20" s="8">
        <v>160.08</v>
      </c>
      <c r="L20" s="26">
        <f t="shared" si="1"/>
        <v>10439.17</v>
      </c>
    </row>
    <row r="21">
      <c r="B21" s="6" t="s">
        <v>54</v>
      </c>
      <c r="C21" s="6" t="s">
        <v>26</v>
      </c>
      <c r="D21" s="6" t="s">
        <v>15</v>
      </c>
      <c r="E21" s="6" t="s">
        <v>55</v>
      </c>
      <c r="F21" s="6" t="s">
        <v>17</v>
      </c>
      <c r="G21" s="6" t="s">
        <v>18</v>
      </c>
      <c r="H21" s="7">
        <v>44942.0</v>
      </c>
      <c r="I21" s="8">
        <v>337.0</v>
      </c>
      <c r="J21" s="8">
        <v>363.79</v>
      </c>
      <c r="K21" s="8">
        <v>216.81</v>
      </c>
      <c r="L21" s="26">
        <f t="shared" si="1"/>
        <v>122597.23</v>
      </c>
    </row>
    <row r="22">
      <c r="B22" s="6" t="s">
        <v>56</v>
      </c>
      <c r="C22" s="6" t="s">
        <v>20</v>
      </c>
      <c r="D22" s="6" t="s">
        <v>15</v>
      </c>
      <c r="E22" s="6" t="s">
        <v>55</v>
      </c>
      <c r="F22" s="6" t="s">
        <v>17</v>
      </c>
      <c r="G22" s="6" t="s">
        <v>18</v>
      </c>
      <c r="H22" s="7">
        <v>44943.0</v>
      </c>
      <c r="I22" s="8">
        <v>260.0</v>
      </c>
      <c r="J22" s="8">
        <v>298.67</v>
      </c>
      <c r="K22" s="8">
        <v>251.92</v>
      </c>
      <c r="L22" s="26">
        <f t="shared" si="1"/>
        <v>77654.2</v>
      </c>
    </row>
    <row r="23">
      <c r="B23" s="6" t="s">
        <v>57</v>
      </c>
      <c r="C23" s="6"/>
      <c r="D23" s="6" t="s">
        <v>21</v>
      </c>
      <c r="E23" s="6" t="s">
        <v>27</v>
      </c>
      <c r="F23" s="6" t="s">
        <v>28</v>
      </c>
      <c r="G23" s="6" t="s">
        <v>33</v>
      </c>
      <c r="H23" s="7">
        <v>44944.0</v>
      </c>
      <c r="I23" s="8">
        <v>398.0</v>
      </c>
      <c r="J23" s="8">
        <v>326.9</v>
      </c>
      <c r="K23" s="8">
        <v>270.37</v>
      </c>
      <c r="L23" s="26">
        <f t="shared" si="1"/>
        <v>130106.2</v>
      </c>
    </row>
    <row r="24">
      <c r="B24" s="6" t="s">
        <v>58</v>
      </c>
      <c r="C24" s="6" t="s">
        <v>20</v>
      </c>
      <c r="D24" s="6" t="s">
        <v>31</v>
      </c>
      <c r="E24" s="6" t="s">
        <v>16</v>
      </c>
      <c r="F24" s="6" t="s">
        <v>17</v>
      </c>
      <c r="G24" s="6" t="s">
        <v>33</v>
      </c>
      <c r="H24" s="7">
        <v>44945.0</v>
      </c>
      <c r="I24" s="8">
        <v>185.0</v>
      </c>
      <c r="J24" s="8">
        <v>242.24</v>
      </c>
      <c r="K24" s="8">
        <v>213.93</v>
      </c>
      <c r="L24" s="26">
        <f t="shared" si="1"/>
        <v>44814.4</v>
      </c>
    </row>
    <row r="25">
      <c r="B25" s="6" t="s">
        <v>59</v>
      </c>
      <c r="C25" s="6" t="s">
        <v>14</v>
      </c>
      <c r="D25" s="6" t="s">
        <v>21</v>
      </c>
      <c r="E25" s="6" t="s">
        <v>22</v>
      </c>
      <c r="F25" s="6" t="s">
        <v>28</v>
      </c>
      <c r="G25" s="6" t="s">
        <v>18</v>
      </c>
      <c r="H25" s="7">
        <v>44946.0</v>
      </c>
      <c r="I25" s="8">
        <v>99.0</v>
      </c>
      <c r="J25" s="8">
        <v>309.79</v>
      </c>
      <c r="K25" s="8">
        <v>289.13</v>
      </c>
      <c r="L25" s="26">
        <f t="shared" si="1"/>
        <v>30669.21</v>
      </c>
    </row>
    <row r="26">
      <c r="B26" s="6" t="s">
        <v>60</v>
      </c>
      <c r="C26" s="6" t="s">
        <v>61</v>
      </c>
      <c r="D26" s="6" t="s">
        <v>15</v>
      </c>
      <c r="E26" s="6" t="s">
        <v>55</v>
      </c>
      <c r="F26" s="6" t="s">
        <v>28</v>
      </c>
      <c r="G26" s="6" t="s">
        <v>33</v>
      </c>
      <c r="H26" s="7">
        <v>44947.0</v>
      </c>
      <c r="I26" s="8">
        <v>411.0</v>
      </c>
      <c r="J26" s="8">
        <v>167.86</v>
      </c>
      <c r="K26" s="8">
        <v>58.23</v>
      </c>
      <c r="L26" s="26">
        <f t="shared" si="1"/>
        <v>68990.46</v>
      </c>
    </row>
    <row r="27">
      <c r="B27" s="6" t="s">
        <v>62</v>
      </c>
      <c r="C27" s="6" t="s">
        <v>26</v>
      </c>
      <c r="D27" s="6" t="s">
        <v>63</v>
      </c>
      <c r="E27" s="6" t="s">
        <v>22</v>
      </c>
      <c r="F27" s="6" t="s">
        <v>28</v>
      </c>
      <c r="G27" s="6" t="s">
        <v>18</v>
      </c>
      <c r="H27" s="7">
        <v>44948.0</v>
      </c>
      <c r="I27" s="8">
        <v>463.0</v>
      </c>
      <c r="J27" s="8">
        <v>237.74</v>
      </c>
      <c r="K27" s="8">
        <v>86.37</v>
      </c>
      <c r="L27" s="26">
        <f t="shared" si="1"/>
        <v>110073.62</v>
      </c>
    </row>
    <row r="28">
      <c r="B28" s="6" t="s">
        <v>64</v>
      </c>
      <c r="C28" s="6" t="s">
        <v>61</v>
      </c>
      <c r="D28" s="6" t="s">
        <v>63</v>
      </c>
      <c r="E28" s="6" t="s">
        <v>55</v>
      </c>
      <c r="F28" s="6" t="s">
        <v>17</v>
      </c>
      <c r="G28" s="6" t="s">
        <v>23</v>
      </c>
      <c r="H28" s="7">
        <v>44949.0</v>
      </c>
      <c r="I28" s="8">
        <v>46.0</v>
      </c>
      <c r="J28" s="8">
        <v>373.42</v>
      </c>
      <c r="K28" s="8">
        <v>327.86</v>
      </c>
      <c r="L28" s="26">
        <f t="shared" si="1"/>
        <v>17177.32</v>
      </c>
    </row>
    <row r="29">
      <c r="B29" s="6" t="s">
        <v>65</v>
      </c>
      <c r="C29" s="6" t="s">
        <v>20</v>
      </c>
      <c r="D29" s="6" t="s">
        <v>39</v>
      </c>
      <c r="E29" s="6" t="s">
        <v>55</v>
      </c>
      <c r="F29" s="6" t="s">
        <v>28</v>
      </c>
      <c r="G29" s="6" t="s">
        <v>33</v>
      </c>
      <c r="H29" s="7">
        <v>44950.0</v>
      </c>
      <c r="I29" s="8">
        <v>325.0</v>
      </c>
      <c r="J29" s="8">
        <v>436.56</v>
      </c>
      <c r="K29" s="8">
        <v>130.37</v>
      </c>
      <c r="L29" s="26">
        <f t="shared" si="1"/>
        <v>141882</v>
      </c>
    </row>
    <row r="30">
      <c r="B30" s="6" t="s">
        <v>66</v>
      </c>
      <c r="C30" s="6" t="s">
        <v>20</v>
      </c>
      <c r="D30" s="6" t="s">
        <v>21</v>
      </c>
      <c r="E30" s="6"/>
      <c r="F30" s="6" t="s">
        <v>28</v>
      </c>
      <c r="G30" s="6" t="s">
        <v>33</v>
      </c>
      <c r="H30" s="7">
        <v>44951.0</v>
      </c>
      <c r="I30" s="8">
        <v>185.0</v>
      </c>
      <c r="J30" s="8">
        <v>219.66</v>
      </c>
      <c r="K30" s="8">
        <v>11.11</v>
      </c>
      <c r="L30" s="26">
        <f t="shared" si="1"/>
        <v>40637.1</v>
      </c>
    </row>
    <row r="31">
      <c r="B31" s="6" t="s">
        <v>67</v>
      </c>
      <c r="C31" s="6" t="s">
        <v>61</v>
      </c>
      <c r="D31" s="6" t="s">
        <v>21</v>
      </c>
      <c r="E31" s="6" t="s">
        <v>16</v>
      </c>
      <c r="F31" s="6" t="s">
        <v>28</v>
      </c>
      <c r="G31" s="6" t="s">
        <v>18</v>
      </c>
      <c r="H31" s="7">
        <v>44952.0</v>
      </c>
      <c r="I31" s="8">
        <v>470.0</v>
      </c>
      <c r="J31" s="8">
        <v>26.61</v>
      </c>
      <c r="K31" s="8">
        <v>63.21</v>
      </c>
      <c r="L31" s="26">
        <f t="shared" si="1"/>
        <v>12506.7</v>
      </c>
    </row>
    <row r="32">
      <c r="B32" s="6" t="s">
        <v>68</v>
      </c>
      <c r="C32" s="6" t="s">
        <v>61</v>
      </c>
      <c r="D32" s="6" t="s">
        <v>39</v>
      </c>
      <c r="E32" s="6" t="s">
        <v>32</v>
      </c>
      <c r="F32" s="6" t="s">
        <v>17</v>
      </c>
      <c r="G32" s="6" t="s">
        <v>33</v>
      </c>
      <c r="H32" s="7">
        <v>44953.0</v>
      </c>
      <c r="I32" s="8">
        <v>293.0</v>
      </c>
      <c r="J32" s="8">
        <v>85.03</v>
      </c>
      <c r="K32" s="8">
        <v>91.0</v>
      </c>
      <c r="L32" s="26">
        <f t="shared" si="1"/>
        <v>24913.79</v>
      </c>
    </row>
    <row r="33">
      <c r="B33" s="6" t="s">
        <v>69</v>
      </c>
      <c r="C33" s="6" t="s">
        <v>61</v>
      </c>
      <c r="D33" s="6" t="s">
        <v>39</v>
      </c>
      <c r="E33" s="6" t="s">
        <v>22</v>
      </c>
      <c r="F33" s="6" t="s">
        <v>17</v>
      </c>
      <c r="G33" s="6" t="s">
        <v>33</v>
      </c>
      <c r="H33" s="7">
        <v>44954.0</v>
      </c>
      <c r="I33" s="8">
        <v>462.0</v>
      </c>
      <c r="J33" s="6"/>
      <c r="K33" s="8">
        <v>383.01</v>
      </c>
      <c r="L33" s="26">
        <f t="shared" si="1"/>
        <v>0</v>
      </c>
    </row>
    <row r="34">
      <c r="B34" s="6" t="s">
        <v>70</v>
      </c>
      <c r="C34" s="6" t="s">
        <v>20</v>
      </c>
      <c r="D34" s="6" t="s">
        <v>39</v>
      </c>
      <c r="E34" s="6" t="s">
        <v>16</v>
      </c>
      <c r="F34" s="6" t="s">
        <v>28</v>
      </c>
      <c r="G34" s="6" t="s">
        <v>23</v>
      </c>
      <c r="H34" s="7">
        <v>44955.0</v>
      </c>
      <c r="I34" s="8">
        <v>470.0</v>
      </c>
      <c r="J34" s="8">
        <v>328.37</v>
      </c>
      <c r="K34" s="8">
        <v>230.07</v>
      </c>
      <c r="L34" s="26">
        <f t="shared" si="1"/>
        <v>154333.9</v>
      </c>
    </row>
    <row r="35">
      <c r="B35" s="6" t="s">
        <v>71</v>
      </c>
      <c r="C35" s="6" t="s">
        <v>20</v>
      </c>
      <c r="D35" s="6" t="s">
        <v>15</v>
      </c>
      <c r="E35" s="6" t="s">
        <v>16</v>
      </c>
      <c r="F35" s="6" t="s">
        <v>17</v>
      </c>
      <c r="G35" s="6" t="s">
        <v>33</v>
      </c>
      <c r="H35" s="7">
        <v>44956.0</v>
      </c>
      <c r="I35" s="8">
        <v>90.0</v>
      </c>
      <c r="J35" s="8">
        <v>169.5</v>
      </c>
      <c r="K35" s="8">
        <v>373.23</v>
      </c>
      <c r="L35" s="26">
        <f t="shared" si="1"/>
        <v>15255</v>
      </c>
    </row>
    <row r="36">
      <c r="B36" s="6" t="s">
        <v>72</v>
      </c>
      <c r="C36" s="6"/>
      <c r="D36" s="6" t="s">
        <v>21</v>
      </c>
      <c r="E36" s="6" t="s">
        <v>16</v>
      </c>
      <c r="F36" s="6" t="s">
        <v>17</v>
      </c>
      <c r="G36" s="6" t="s">
        <v>23</v>
      </c>
      <c r="H36" s="7">
        <v>44957.0</v>
      </c>
      <c r="I36" s="8">
        <v>123.0</v>
      </c>
      <c r="J36" s="8">
        <v>273.53</v>
      </c>
      <c r="K36" s="8">
        <v>230.92</v>
      </c>
      <c r="L36" s="26">
        <f t="shared" si="1"/>
        <v>33644.19</v>
      </c>
    </row>
    <row r="37">
      <c r="B37" s="6" t="s">
        <v>73</v>
      </c>
      <c r="C37" s="6" t="s">
        <v>26</v>
      </c>
      <c r="D37" s="6" t="s">
        <v>15</v>
      </c>
      <c r="E37" s="6" t="s">
        <v>16</v>
      </c>
      <c r="F37" s="6" t="s">
        <v>17</v>
      </c>
      <c r="G37" s="6" t="s">
        <v>18</v>
      </c>
      <c r="H37" s="7">
        <v>44958.0</v>
      </c>
      <c r="I37" s="8">
        <v>49.0</v>
      </c>
      <c r="J37" s="8">
        <v>249.17</v>
      </c>
      <c r="K37" s="8">
        <v>192.78</v>
      </c>
      <c r="L37" s="26">
        <f t="shared" si="1"/>
        <v>12209.33</v>
      </c>
    </row>
    <row r="38">
      <c r="B38" s="6" t="s">
        <v>74</v>
      </c>
      <c r="C38" s="6" t="s">
        <v>20</v>
      </c>
      <c r="D38" s="6" t="s">
        <v>39</v>
      </c>
      <c r="E38" s="6" t="s">
        <v>16</v>
      </c>
      <c r="F38" s="6" t="s">
        <v>17</v>
      </c>
      <c r="G38" s="6" t="s">
        <v>33</v>
      </c>
      <c r="H38" s="7">
        <v>44959.0</v>
      </c>
      <c r="I38" s="8">
        <v>310.0</v>
      </c>
      <c r="J38" s="8">
        <v>45.36</v>
      </c>
      <c r="K38" s="8">
        <v>126.86</v>
      </c>
      <c r="L38" s="26">
        <f t="shared" si="1"/>
        <v>14061.6</v>
      </c>
    </row>
    <row r="39">
      <c r="B39" s="6" t="s">
        <v>75</v>
      </c>
      <c r="C39" s="6" t="s">
        <v>61</v>
      </c>
      <c r="D39" s="6" t="s">
        <v>21</v>
      </c>
      <c r="E39" s="6" t="s">
        <v>27</v>
      </c>
      <c r="F39" s="6" t="s">
        <v>17</v>
      </c>
      <c r="G39" s="6" t="s">
        <v>23</v>
      </c>
      <c r="H39" s="7">
        <v>44960.0</v>
      </c>
      <c r="I39" s="8">
        <v>233.0</v>
      </c>
      <c r="J39" s="8">
        <v>204.61</v>
      </c>
      <c r="K39" s="8">
        <v>243.34</v>
      </c>
      <c r="L39" s="26">
        <f t="shared" si="1"/>
        <v>47674.13</v>
      </c>
    </row>
    <row r="40">
      <c r="B40" s="6" t="s">
        <v>76</v>
      </c>
      <c r="C40" s="6" t="s">
        <v>61</v>
      </c>
      <c r="D40" s="6" t="s">
        <v>15</v>
      </c>
      <c r="E40" s="6" t="s">
        <v>22</v>
      </c>
      <c r="F40" s="6" t="s">
        <v>17</v>
      </c>
      <c r="G40" s="6" t="s">
        <v>18</v>
      </c>
      <c r="H40" s="7">
        <v>44961.0</v>
      </c>
      <c r="I40" s="8">
        <v>327.0</v>
      </c>
      <c r="J40" s="8">
        <v>114.18</v>
      </c>
      <c r="K40" s="8">
        <v>57.4</v>
      </c>
      <c r="L40" s="26">
        <f t="shared" si="1"/>
        <v>37336.86</v>
      </c>
    </row>
    <row r="41">
      <c r="B41" s="6" t="s">
        <v>77</v>
      </c>
      <c r="C41" s="6" t="s">
        <v>26</v>
      </c>
      <c r="D41" s="6" t="s">
        <v>15</v>
      </c>
      <c r="E41" s="6" t="s">
        <v>16</v>
      </c>
      <c r="F41" s="6" t="s">
        <v>17</v>
      </c>
      <c r="G41" s="6" t="s">
        <v>33</v>
      </c>
      <c r="H41" s="7">
        <v>44962.0</v>
      </c>
      <c r="I41" s="8">
        <v>358.0</v>
      </c>
      <c r="J41" s="8">
        <v>212.11</v>
      </c>
      <c r="K41" s="8">
        <v>359.51</v>
      </c>
      <c r="L41" s="26">
        <f t="shared" si="1"/>
        <v>75935.38</v>
      </c>
    </row>
    <row r="42">
      <c r="B42" s="6" t="s">
        <v>78</v>
      </c>
      <c r="C42" s="6" t="s">
        <v>20</v>
      </c>
      <c r="D42" s="6" t="s">
        <v>39</v>
      </c>
      <c r="E42" s="6" t="s">
        <v>22</v>
      </c>
      <c r="F42" s="6" t="s">
        <v>17</v>
      </c>
      <c r="G42" s="6" t="s">
        <v>18</v>
      </c>
      <c r="H42" s="7">
        <v>44963.0</v>
      </c>
      <c r="I42" s="8">
        <v>124.0</v>
      </c>
      <c r="J42" s="6"/>
      <c r="K42" s="8">
        <v>332.07</v>
      </c>
      <c r="L42" s="26">
        <f t="shared" si="1"/>
        <v>0</v>
      </c>
    </row>
    <row r="43">
      <c r="B43" s="6" t="s">
        <v>79</v>
      </c>
      <c r="C43" s="6" t="s">
        <v>26</v>
      </c>
      <c r="D43" s="6" t="s">
        <v>21</v>
      </c>
      <c r="E43" s="6" t="s">
        <v>27</v>
      </c>
      <c r="F43" s="6" t="s">
        <v>17</v>
      </c>
      <c r="G43" s="6" t="s">
        <v>33</v>
      </c>
      <c r="H43" s="7">
        <v>44964.0</v>
      </c>
      <c r="I43" s="8">
        <v>195.0</v>
      </c>
      <c r="J43" s="8">
        <v>421.02</v>
      </c>
      <c r="K43" s="8">
        <v>128.38</v>
      </c>
      <c r="L43" s="26">
        <f t="shared" si="1"/>
        <v>82098.9</v>
      </c>
    </row>
    <row r="44">
      <c r="B44" s="6" t="s">
        <v>80</v>
      </c>
      <c r="C44" s="6" t="s">
        <v>26</v>
      </c>
      <c r="D44" s="6" t="s">
        <v>39</v>
      </c>
      <c r="E44" s="6" t="s">
        <v>27</v>
      </c>
      <c r="F44" s="6" t="s">
        <v>17</v>
      </c>
      <c r="G44" s="6" t="s">
        <v>18</v>
      </c>
      <c r="H44" s="7">
        <v>44965.0</v>
      </c>
      <c r="I44" s="6"/>
      <c r="J44" s="8">
        <v>91.23</v>
      </c>
      <c r="K44" s="8">
        <v>381.21</v>
      </c>
      <c r="L44" s="26">
        <f t="shared" si="1"/>
        <v>0</v>
      </c>
    </row>
    <row r="45">
      <c r="B45" s="6" t="s">
        <v>81</v>
      </c>
      <c r="C45" s="6" t="s">
        <v>14</v>
      </c>
      <c r="D45" s="6" t="s">
        <v>21</v>
      </c>
      <c r="E45" s="6" t="s">
        <v>22</v>
      </c>
      <c r="F45" s="6" t="s">
        <v>28</v>
      </c>
      <c r="G45" s="6" t="s">
        <v>18</v>
      </c>
      <c r="H45" s="7">
        <v>44966.0</v>
      </c>
      <c r="I45" s="8">
        <v>65.0</v>
      </c>
      <c r="J45" s="8">
        <v>480.59</v>
      </c>
      <c r="K45" s="8">
        <v>330.43</v>
      </c>
      <c r="L45" s="26">
        <f t="shared" si="1"/>
        <v>31238.35</v>
      </c>
    </row>
    <row r="46">
      <c r="B46" s="6" t="s">
        <v>82</v>
      </c>
      <c r="C46" s="6" t="s">
        <v>14</v>
      </c>
      <c r="D46" s="6" t="s">
        <v>63</v>
      </c>
      <c r="E46" s="6" t="s">
        <v>55</v>
      </c>
      <c r="F46" s="6" t="s">
        <v>28</v>
      </c>
      <c r="G46" s="6" t="s">
        <v>23</v>
      </c>
      <c r="H46" s="7">
        <v>44967.0</v>
      </c>
      <c r="I46" s="8">
        <v>49.0</v>
      </c>
      <c r="J46" s="8">
        <v>210.87</v>
      </c>
      <c r="K46" s="8">
        <v>267.19</v>
      </c>
      <c r="L46" s="26">
        <f t="shared" si="1"/>
        <v>10332.63</v>
      </c>
    </row>
    <row r="47">
      <c r="B47" s="6" t="s">
        <v>83</v>
      </c>
      <c r="C47" s="6" t="s">
        <v>14</v>
      </c>
      <c r="D47" s="6" t="s">
        <v>31</v>
      </c>
      <c r="E47" s="6" t="s">
        <v>32</v>
      </c>
      <c r="F47" s="6" t="s">
        <v>17</v>
      </c>
      <c r="G47" s="6" t="s">
        <v>18</v>
      </c>
      <c r="H47" s="7">
        <v>44968.0</v>
      </c>
      <c r="I47" s="8">
        <v>363.0</v>
      </c>
      <c r="J47" s="8">
        <v>423.89</v>
      </c>
      <c r="K47" s="8">
        <v>50.46</v>
      </c>
      <c r="L47" s="26">
        <f t="shared" si="1"/>
        <v>153872.07</v>
      </c>
    </row>
    <row r="48">
      <c r="B48" s="6" t="s">
        <v>84</v>
      </c>
      <c r="C48" s="6" t="s">
        <v>61</v>
      </c>
      <c r="D48" s="6" t="s">
        <v>31</v>
      </c>
      <c r="E48" s="6" t="s">
        <v>55</v>
      </c>
      <c r="F48" s="6" t="s">
        <v>28</v>
      </c>
      <c r="G48" s="6" t="s">
        <v>33</v>
      </c>
      <c r="H48" s="7">
        <v>44969.0</v>
      </c>
      <c r="I48" s="8">
        <v>49.0</v>
      </c>
      <c r="J48" s="8">
        <v>316.24</v>
      </c>
      <c r="K48" s="8">
        <v>192.34</v>
      </c>
      <c r="L48" s="26">
        <f t="shared" si="1"/>
        <v>15495.76</v>
      </c>
    </row>
    <row r="49">
      <c r="B49" s="6" t="s">
        <v>85</v>
      </c>
      <c r="C49" s="6" t="s">
        <v>20</v>
      </c>
      <c r="D49" s="6" t="s">
        <v>31</v>
      </c>
      <c r="E49" s="6" t="s">
        <v>55</v>
      </c>
      <c r="F49" s="6" t="s">
        <v>28</v>
      </c>
      <c r="G49" s="6" t="s">
        <v>33</v>
      </c>
      <c r="H49" s="7">
        <v>44970.0</v>
      </c>
      <c r="I49" s="8">
        <v>356.0</v>
      </c>
      <c r="J49" s="8">
        <v>369.0</v>
      </c>
      <c r="K49" s="8">
        <v>203.43</v>
      </c>
      <c r="L49" s="26">
        <f t="shared" si="1"/>
        <v>131364</v>
      </c>
    </row>
    <row r="50">
      <c r="B50" s="6" t="s">
        <v>86</v>
      </c>
      <c r="C50" s="6" t="s">
        <v>20</v>
      </c>
      <c r="D50" s="6" t="s">
        <v>39</v>
      </c>
      <c r="E50" s="6" t="s">
        <v>55</v>
      </c>
      <c r="F50" s="6" t="s">
        <v>17</v>
      </c>
      <c r="G50" s="6" t="s">
        <v>23</v>
      </c>
      <c r="H50" s="7">
        <v>44971.0</v>
      </c>
      <c r="I50" s="8">
        <v>470.0</v>
      </c>
      <c r="J50" s="6"/>
      <c r="K50" s="8">
        <v>94.56</v>
      </c>
      <c r="L50" s="26">
        <f t="shared" si="1"/>
        <v>0</v>
      </c>
    </row>
    <row r="51">
      <c r="B51" s="6" t="s">
        <v>87</v>
      </c>
      <c r="C51" s="6" t="s">
        <v>20</v>
      </c>
      <c r="D51" s="6" t="s">
        <v>63</v>
      </c>
      <c r="E51" s="6" t="s">
        <v>16</v>
      </c>
      <c r="F51" s="6" t="s">
        <v>17</v>
      </c>
      <c r="G51" s="6" t="s">
        <v>33</v>
      </c>
      <c r="H51" s="7">
        <v>44972.0</v>
      </c>
      <c r="I51" s="8">
        <v>246.0</v>
      </c>
      <c r="J51" s="8">
        <v>254.9</v>
      </c>
      <c r="K51" s="8">
        <v>33.83</v>
      </c>
      <c r="L51" s="26">
        <f t="shared" si="1"/>
        <v>62705.4</v>
      </c>
    </row>
    <row r="52">
      <c r="B52" s="6" t="s">
        <v>88</v>
      </c>
      <c r="C52" s="6" t="s">
        <v>20</v>
      </c>
      <c r="D52" s="6" t="s">
        <v>21</v>
      </c>
      <c r="E52" s="6" t="s">
        <v>27</v>
      </c>
      <c r="F52" s="6" t="s">
        <v>17</v>
      </c>
      <c r="G52" s="6" t="s">
        <v>33</v>
      </c>
      <c r="H52" s="7">
        <v>44973.0</v>
      </c>
      <c r="I52" s="8">
        <v>298.0</v>
      </c>
      <c r="J52" s="8">
        <v>273.93</v>
      </c>
      <c r="K52" s="8">
        <v>311.14</v>
      </c>
      <c r="L52" s="26">
        <f t="shared" si="1"/>
        <v>81631.14</v>
      </c>
    </row>
    <row r="53">
      <c r="B53" s="6" t="s">
        <v>89</v>
      </c>
      <c r="C53" s="6" t="s">
        <v>14</v>
      </c>
      <c r="D53" s="6" t="s">
        <v>15</v>
      </c>
      <c r="E53" s="6" t="s">
        <v>55</v>
      </c>
      <c r="F53" s="6" t="s">
        <v>28</v>
      </c>
      <c r="G53" s="6" t="s">
        <v>33</v>
      </c>
      <c r="H53" s="7">
        <v>44974.0</v>
      </c>
      <c r="I53" s="8">
        <v>271.0</v>
      </c>
      <c r="J53" s="8">
        <v>259.43</v>
      </c>
      <c r="K53" s="8">
        <v>50.57</v>
      </c>
      <c r="L53" s="26">
        <f t="shared" si="1"/>
        <v>70305.53</v>
      </c>
    </row>
    <row r="54">
      <c r="B54" s="6" t="s">
        <v>90</v>
      </c>
      <c r="C54" s="6" t="s">
        <v>61</v>
      </c>
      <c r="D54" s="6" t="s">
        <v>21</v>
      </c>
      <c r="E54" s="6" t="s">
        <v>27</v>
      </c>
      <c r="F54" s="6" t="s">
        <v>28</v>
      </c>
      <c r="G54" s="6" t="s">
        <v>18</v>
      </c>
      <c r="H54" s="7">
        <v>44975.0</v>
      </c>
      <c r="I54" s="8">
        <v>225.0</v>
      </c>
      <c r="J54" s="8">
        <v>296.09</v>
      </c>
      <c r="K54" s="8">
        <v>238.53</v>
      </c>
      <c r="L54" s="26">
        <f t="shared" si="1"/>
        <v>66620.25</v>
      </c>
    </row>
    <row r="55">
      <c r="B55" s="6" t="s">
        <v>91</v>
      </c>
      <c r="C55" s="6"/>
      <c r="D55" s="6" t="s">
        <v>15</v>
      </c>
      <c r="E55" s="6" t="s">
        <v>22</v>
      </c>
      <c r="F55" s="6" t="s">
        <v>17</v>
      </c>
      <c r="G55" s="6" t="s">
        <v>18</v>
      </c>
      <c r="H55" s="7">
        <v>44976.0</v>
      </c>
      <c r="I55" s="8">
        <v>156.0</v>
      </c>
      <c r="J55" s="8">
        <v>19.55</v>
      </c>
      <c r="K55" s="8">
        <v>374.71</v>
      </c>
      <c r="L55" s="26">
        <f t="shared" si="1"/>
        <v>3049.8</v>
      </c>
    </row>
    <row r="56">
      <c r="B56" s="6" t="s">
        <v>92</v>
      </c>
      <c r="C56" s="6" t="s">
        <v>14</v>
      </c>
      <c r="D56" s="6" t="s">
        <v>21</v>
      </c>
      <c r="E56" s="6" t="s">
        <v>32</v>
      </c>
      <c r="F56" s="6" t="s">
        <v>17</v>
      </c>
      <c r="G56" s="6" t="s">
        <v>33</v>
      </c>
      <c r="H56" s="7">
        <v>44977.0</v>
      </c>
      <c r="I56" s="8">
        <v>345.0</v>
      </c>
      <c r="J56" s="8">
        <v>200.78</v>
      </c>
      <c r="K56" s="8">
        <v>350.69</v>
      </c>
      <c r="L56" s="26">
        <f t="shared" si="1"/>
        <v>69269.1</v>
      </c>
    </row>
    <row r="57">
      <c r="B57" s="6" t="s">
        <v>93</v>
      </c>
      <c r="C57" s="6" t="s">
        <v>61</v>
      </c>
      <c r="D57" s="6" t="s">
        <v>63</v>
      </c>
      <c r="E57" s="6" t="s">
        <v>22</v>
      </c>
      <c r="F57" s="6" t="s">
        <v>17</v>
      </c>
      <c r="G57" s="6" t="s">
        <v>23</v>
      </c>
      <c r="H57" s="7">
        <v>44978.0</v>
      </c>
      <c r="I57" s="8">
        <v>177.0</v>
      </c>
      <c r="J57" s="8">
        <v>305.06</v>
      </c>
      <c r="K57" s="8">
        <v>112.55</v>
      </c>
      <c r="L57" s="26">
        <f t="shared" si="1"/>
        <v>53995.62</v>
      </c>
    </row>
    <row r="58">
      <c r="B58" s="6" t="s">
        <v>94</v>
      </c>
      <c r="C58" s="6" t="s">
        <v>14</v>
      </c>
      <c r="D58" s="6" t="s">
        <v>15</v>
      </c>
      <c r="E58" s="6" t="s">
        <v>22</v>
      </c>
      <c r="F58" s="6" t="s">
        <v>28</v>
      </c>
      <c r="G58" s="6" t="s">
        <v>18</v>
      </c>
      <c r="H58" s="7">
        <v>44979.0</v>
      </c>
      <c r="I58" s="8">
        <v>101.0</v>
      </c>
      <c r="J58" s="8">
        <v>300.87</v>
      </c>
      <c r="K58" s="8">
        <v>340.88</v>
      </c>
      <c r="L58" s="26">
        <f t="shared" si="1"/>
        <v>30387.87</v>
      </c>
    </row>
    <row r="59">
      <c r="B59" s="6" t="s">
        <v>95</v>
      </c>
      <c r="C59" s="6" t="s">
        <v>20</v>
      </c>
      <c r="D59" s="6" t="s">
        <v>39</v>
      </c>
      <c r="E59" s="6" t="s">
        <v>16</v>
      </c>
      <c r="F59" s="6" t="s">
        <v>28</v>
      </c>
      <c r="G59" s="6" t="s">
        <v>23</v>
      </c>
      <c r="H59" s="7">
        <v>44980.0</v>
      </c>
      <c r="I59" s="8">
        <v>362.0</v>
      </c>
      <c r="J59" s="8">
        <v>397.51</v>
      </c>
      <c r="K59" s="8">
        <v>2.13</v>
      </c>
      <c r="L59" s="26">
        <f t="shared" si="1"/>
        <v>143898.62</v>
      </c>
    </row>
    <row r="60">
      <c r="B60" s="6" t="s">
        <v>96</v>
      </c>
      <c r="C60" s="6" t="s">
        <v>14</v>
      </c>
      <c r="D60" s="6" t="s">
        <v>21</v>
      </c>
      <c r="E60" s="6" t="s">
        <v>32</v>
      </c>
      <c r="F60" s="6" t="s">
        <v>28</v>
      </c>
      <c r="G60" s="6" t="s">
        <v>33</v>
      </c>
      <c r="H60" s="7">
        <v>44981.0</v>
      </c>
      <c r="I60" s="8">
        <v>68.0</v>
      </c>
      <c r="J60" s="8">
        <v>329.23</v>
      </c>
      <c r="K60" s="8">
        <v>9.04</v>
      </c>
      <c r="L60" s="26">
        <f t="shared" si="1"/>
        <v>22387.64</v>
      </c>
    </row>
    <row r="61">
      <c r="B61" s="6" t="s">
        <v>97</v>
      </c>
      <c r="C61" s="6" t="s">
        <v>20</v>
      </c>
      <c r="D61" s="6" t="s">
        <v>21</v>
      </c>
      <c r="E61" s="6" t="s">
        <v>22</v>
      </c>
      <c r="F61" s="6" t="s">
        <v>28</v>
      </c>
      <c r="G61" s="6" t="s">
        <v>33</v>
      </c>
      <c r="H61" s="7">
        <v>44982.0</v>
      </c>
      <c r="I61" s="8">
        <v>68.0</v>
      </c>
      <c r="J61" s="8">
        <v>496.11</v>
      </c>
      <c r="K61" s="8">
        <v>241.82</v>
      </c>
      <c r="L61" s="26">
        <f t="shared" si="1"/>
        <v>33735.48</v>
      </c>
    </row>
    <row r="62">
      <c r="B62" s="6" t="s">
        <v>98</v>
      </c>
      <c r="C62" s="6" t="s">
        <v>20</v>
      </c>
      <c r="D62" s="6" t="s">
        <v>15</v>
      </c>
      <c r="E62" s="6" t="s">
        <v>22</v>
      </c>
      <c r="F62" s="6" t="s">
        <v>17</v>
      </c>
      <c r="G62" s="6" t="s">
        <v>18</v>
      </c>
      <c r="H62" s="7">
        <v>44983.0</v>
      </c>
      <c r="I62" s="8">
        <v>313.0</v>
      </c>
      <c r="J62" s="8">
        <v>145.51</v>
      </c>
      <c r="K62" s="8">
        <v>147.19</v>
      </c>
      <c r="L62" s="26">
        <f t="shared" si="1"/>
        <v>45544.63</v>
      </c>
    </row>
    <row r="63">
      <c r="B63" s="6" t="s">
        <v>99</v>
      </c>
      <c r="C63" s="6" t="s">
        <v>26</v>
      </c>
      <c r="D63" s="6" t="s">
        <v>39</v>
      </c>
      <c r="E63" s="6" t="s">
        <v>32</v>
      </c>
      <c r="F63" s="6" t="s">
        <v>17</v>
      </c>
      <c r="G63" s="6" t="s">
        <v>33</v>
      </c>
      <c r="H63" s="7">
        <v>44984.0</v>
      </c>
      <c r="I63" s="8">
        <v>178.0</v>
      </c>
      <c r="J63" s="8">
        <v>182.78</v>
      </c>
      <c r="K63" s="8">
        <v>155.81</v>
      </c>
      <c r="L63" s="26">
        <f t="shared" si="1"/>
        <v>32534.84</v>
      </c>
    </row>
    <row r="64">
      <c r="B64" s="6" t="s">
        <v>100</v>
      </c>
      <c r="C64" s="6" t="s">
        <v>14</v>
      </c>
      <c r="D64" s="6" t="s">
        <v>39</v>
      </c>
      <c r="E64" s="6" t="s">
        <v>32</v>
      </c>
      <c r="F64" s="6" t="s">
        <v>17</v>
      </c>
      <c r="G64" s="6" t="s">
        <v>18</v>
      </c>
      <c r="H64" s="7">
        <v>44985.0</v>
      </c>
      <c r="I64" s="8">
        <v>278.0</v>
      </c>
      <c r="J64" s="8">
        <v>195.0</v>
      </c>
      <c r="K64" s="8">
        <v>226.65</v>
      </c>
      <c r="L64" s="26">
        <f t="shared" si="1"/>
        <v>54210</v>
      </c>
    </row>
    <row r="65">
      <c r="B65" s="6" t="s">
        <v>101</v>
      </c>
      <c r="C65" s="6" t="s">
        <v>26</v>
      </c>
      <c r="D65" s="6" t="s">
        <v>63</v>
      </c>
      <c r="E65" s="6" t="s">
        <v>22</v>
      </c>
      <c r="F65" s="6" t="s">
        <v>17</v>
      </c>
      <c r="G65" s="6" t="s">
        <v>33</v>
      </c>
      <c r="H65" s="7">
        <v>44986.0</v>
      </c>
      <c r="I65" s="8">
        <v>372.0</v>
      </c>
      <c r="J65" s="8">
        <v>235.58</v>
      </c>
      <c r="K65" s="8">
        <v>78.33</v>
      </c>
      <c r="L65" s="26">
        <f t="shared" si="1"/>
        <v>87635.76</v>
      </c>
    </row>
    <row r="66">
      <c r="B66" s="6" t="s">
        <v>102</v>
      </c>
      <c r="C66" s="6" t="s">
        <v>14</v>
      </c>
      <c r="D66" s="6" t="s">
        <v>39</v>
      </c>
      <c r="E66" s="6" t="s">
        <v>32</v>
      </c>
      <c r="F66" s="6" t="s">
        <v>28</v>
      </c>
      <c r="G66" s="6" t="s">
        <v>33</v>
      </c>
      <c r="H66" s="7">
        <v>44987.0</v>
      </c>
      <c r="I66" s="8">
        <v>54.0</v>
      </c>
      <c r="J66" s="8">
        <v>418.82</v>
      </c>
      <c r="K66" s="8">
        <v>86.28</v>
      </c>
      <c r="L66" s="26">
        <f t="shared" si="1"/>
        <v>22616.28</v>
      </c>
    </row>
    <row r="67">
      <c r="B67" s="6" t="s">
        <v>103</v>
      </c>
      <c r="C67" s="6" t="s">
        <v>14</v>
      </c>
      <c r="D67" s="6" t="s">
        <v>39</v>
      </c>
      <c r="E67" s="6" t="s">
        <v>22</v>
      </c>
      <c r="F67" s="6" t="s">
        <v>28</v>
      </c>
      <c r="G67" s="6" t="s">
        <v>18</v>
      </c>
      <c r="H67" s="7">
        <v>44988.0</v>
      </c>
      <c r="I67" s="8">
        <v>354.0</v>
      </c>
      <c r="J67" s="8">
        <v>121.72</v>
      </c>
      <c r="K67" s="8">
        <v>194.87</v>
      </c>
      <c r="L67" s="26">
        <f t="shared" si="1"/>
        <v>43088.88</v>
      </c>
    </row>
    <row r="68">
      <c r="B68" s="6" t="s">
        <v>104</v>
      </c>
      <c r="C68" s="6" t="s">
        <v>26</v>
      </c>
      <c r="D68" s="6" t="s">
        <v>39</v>
      </c>
      <c r="E68" s="6" t="s">
        <v>22</v>
      </c>
      <c r="F68" s="6" t="s">
        <v>17</v>
      </c>
      <c r="G68" s="6" t="s">
        <v>18</v>
      </c>
      <c r="H68" s="7">
        <v>44989.0</v>
      </c>
      <c r="I68" s="8">
        <v>190.0</v>
      </c>
      <c r="J68" s="8">
        <v>389.12</v>
      </c>
      <c r="K68" s="8">
        <v>302.19</v>
      </c>
      <c r="L68" s="26">
        <f t="shared" si="1"/>
        <v>73932.8</v>
      </c>
    </row>
    <row r="69">
      <c r="B69" s="6" t="s">
        <v>105</v>
      </c>
      <c r="C69" s="6"/>
      <c r="D69" s="6" t="s">
        <v>31</v>
      </c>
      <c r="E69" s="6" t="s">
        <v>16</v>
      </c>
      <c r="F69" s="6" t="s">
        <v>17</v>
      </c>
      <c r="G69" s="6" t="s">
        <v>18</v>
      </c>
      <c r="H69" s="7">
        <v>44990.0</v>
      </c>
      <c r="I69" s="8">
        <v>179.0</v>
      </c>
      <c r="J69" s="8">
        <v>205.63</v>
      </c>
      <c r="K69" s="8">
        <v>248.56</v>
      </c>
      <c r="L69" s="26">
        <f t="shared" si="1"/>
        <v>36807.77</v>
      </c>
    </row>
    <row r="70">
      <c r="B70" s="6" t="s">
        <v>106</v>
      </c>
      <c r="C70" s="6" t="s">
        <v>14</v>
      </c>
      <c r="D70" s="6" t="s">
        <v>63</v>
      </c>
      <c r="E70" s="6" t="s">
        <v>55</v>
      </c>
      <c r="F70" s="6" t="s">
        <v>28</v>
      </c>
      <c r="G70" s="6" t="s">
        <v>33</v>
      </c>
      <c r="H70" s="7">
        <v>44991.0</v>
      </c>
      <c r="I70" s="8">
        <v>365.0</v>
      </c>
      <c r="J70" s="8">
        <v>302.92</v>
      </c>
      <c r="K70" s="8">
        <v>120.35</v>
      </c>
      <c r="L70" s="26">
        <f t="shared" si="1"/>
        <v>110565.8</v>
      </c>
    </row>
    <row r="71">
      <c r="B71" s="6" t="s">
        <v>107</v>
      </c>
      <c r="C71" s="6" t="s">
        <v>61</v>
      </c>
      <c r="D71" s="6" t="s">
        <v>21</v>
      </c>
      <c r="E71" s="6" t="s">
        <v>22</v>
      </c>
      <c r="F71" s="6" t="s">
        <v>17</v>
      </c>
      <c r="G71" s="6" t="s">
        <v>33</v>
      </c>
      <c r="H71" s="7">
        <v>44992.0</v>
      </c>
      <c r="I71" s="8">
        <v>200.0</v>
      </c>
      <c r="J71" s="8">
        <v>318.11</v>
      </c>
      <c r="K71" s="8">
        <v>173.27</v>
      </c>
      <c r="L71" s="26">
        <f t="shared" si="1"/>
        <v>63622</v>
      </c>
    </row>
    <row r="72">
      <c r="B72" s="6" t="s">
        <v>108</v>
      </c>
      <c r="C72" s="6" t="s">
        <v>20</v>
      </c>
      <c r="D72" s="6" t="s">
        <v>15</v>
      </c>
      <c r="E72" s="6" t="s">
        <v>27</v>
      </c>
      <c r="F72" s="6" t="s">
        <v>28</v>
      </c>
      <c r="G72" s="6" t="s">
        <v>23</v>
      </c>
      <c r="H72" s="7">
        <v>44993.0</v>
      </c>
      <c r="I72" s="8">
        <v>164.0</v>
      </c>
      <c r="J72" s="8">
        <v>189.56</v>
      </c>
      <c r="K72" s="8">
        <v>69.92</v>
      </c>
      <c r="L72" s="26">
        <f t="shared" si="1"/>
        <v>31087.84</v>
      </c>
    </row>
    <row r="73">
      <c r="B73" s="6" t="s">
        <v>109</v>
      </c>
      <c r="C73" s="6" t="s">
        <v>26</v>
      </c>
      <c r="D73" s="6" t="s">
        <v>21</v>
      </c>
      <c r="E73" s="6" t="s">
        <v>55</v>
      </c>
      <c r="F73" s="6" t="s">
        <v>17</v>
      </c>
      <c r="G73" s="6" t="s">
        <v>18</v>
      </c>
      <c r="H73" s="7">
        <v>44994.0</v>
      </c>
      <c r="I73" s="8">
        <v>431.0</v>
      </c>
      <c r="J73" s="8">
        <v>258.74</v>
      </c>
      <c r="K73" s="8">
        <v>31.7</v>
      </c>
      <c r="L73" s="26">
        <f t="shared" si="1"/>
        <v>111516.94</v>
      </c>
    </row>
    <row r="74">
      <c r="B74" s="6" t="s">
        <v>110</v>
      </c>
      <c r="C74" s="6" t="s">
        <v>20</v>
      </c>
      <c r="D74" s="6" t="s">
        <v>63</v>
      </c>
      <c r="E74" s="6" t="s">
        <v>55</v>
      </c>
      <c r="F74" s="6" t="s">
        <v>17</v>
      </c>
      <c r="G74" s="6" t="s">
        <v>33</v>
      </c>
      <c r="H74" s="7">
        <v>44995.0</v>
      </c>
      <c r="I74" s="8">
        <v>197.0</v>
      </c>
      <c r="J74" s="8">
        <v>209.45</v>
      </c>
      <c r="K74" s="8">
        <v>313.51</v>
      </c>
      <c r="L74" s="26">
        <f t="shared" si="1"/>
        <v>41261.65</v>
      </c>
    </row>
    <row r="75">
      <c r="B75" s="6" t="s">
        <v>111</v>
      </c>
      <c r="C75" s="6" t="s">
        <v>61</v>
      </c>
      <c r="D75" s="6" t="s">
        <v>15</v>
      </c>
      <c r="E75" s="6" t="s">
        <v>55</v>
      </c>
      <c r="F75" s="6" t="s">
        <v>17</v>
      </c>
      <c r="G75" s="6" t="s">
        <v>33</v>
      </c>
      <c r="H75" s="7">
        <v>44996.0</v>
      </c>
      <c r="I75" s="8">
        <v>16.0</v>
      </c>
      <c r="J75" s="8">
        <v>39.22</v>
      </c>
      <c r="K75" s="8">
        <v>107.62</v>
      </c>
      <c r="L75" s="26">
        <f t="shared" si="1"/>
        <v>627.52</v>
      </c>
    </row>
    <row r="76">
      <c r="B76" s="6" t="s">
        <v>112</v>
      </c>
      <c r="C76" s="6" t="s">
        <v>61</v>
      </c>
      <c r="D76" s="6" t="s">
        <v>63</v>
      </c>
      <c r="E76" s="6" t="s">
        <v>16</v>
      </c>
      <c r="F76" s="6" t="s">
        <v>17</v>
      </c>
      <c r="G76" s="6" t="s">
        <v>18</v>
      </c>
      <c r="H76" s="7">
        <v>44997.0</v>
      </c>
      <c r="I76" s="8">
        <v>142.0</v>
      </c>
      <c r="J76" s="8">
        <v>221.4</v>
      </c>
      <c r="K76" s="8">
        <v>72.75</v>
      </c>
      <c r="L76" s="26">
        <f t="shared" si="1"/>
        <v>31438.8</v>
      </c>
    </row>
    <row r="77">
      <c r="B77" s="6" t="s">
        <v>113</v>
      </c>
      <c r="C77" s="6" t="s">
        <v>61</v>
      </c>
      <c r="D77" s="6" t="s">
        <v>39</v>
      </c>
      <c r="E77" s="6" t="s">
        <v>22</v>
      </c>
      <c r="F77" s="6" t="s">
        <v>17</v>
      </c>
      <c r="G77" s="6" t="s">
        <v>23</v>
      </c>
      <c r="H77" s="7">
        <v>44998.0</v>
      </c>
      <c r="I77" s="8">
        <v>244.0</v>
      </c>
      <c r="J77" s="8">
        <v>53.21</v>
      </c>
      <c r="K77" s="8">
        <v>277.26</v>
      </c>
      <c r="L77" s="26">
        <f t="shared" si="1"/>
        <v>12983.24</v>
      </c>
    </row>
    <row r="78">
      <c r="B78" s="6" t="s">
        <v>114</v>
      </c>
      <c r="C78" s="6" t="s">
        <v>26</v>
      </c>
      <c r="D78" s="6" t="s">
        <v>15</v>
      </c>
      <c r="E78" s="6" t="s">
        <v>16</v>
      </c>
      <c r="F78" s="6" t="s">
        <v>17</v>
      </c>
      <c r="G78" s="6" t="s">
        <v>18</v>
      </c>
      <c r="H78" s="7">
        <v>44999.0</v>
      </c>
      <c r="I78" s="8">
        <v>54.0</v>
      </c>
      <c r="J78" s="8">
        <v>205.49</v>
      </c>
      <c r="K78" s="8">
        <v>247.98</v>
      </c>
      <c r="L78" s="26">
        <f t="shared" si="1"/>
        <v>11096.46</v>
      </c>
    </row>
    <row r="79">
      <c r="B79" s="6" t="s">
        <v>115</v>
      </c>
      <c r="C79" s="6" t="s">
        <v>61</v>
      </c>
      <c r="D79" s="6" t="s">
        <v>39</v>
      </c>
      <c r="E79" s="6" t="s">
        <v>22</v>
      </c>
      <c r="F79" s="6" t="s">
        <v>17</v>
      </c>
      <c r="G79" s="6" t="s">
        <v>23</v>
      </c>
      <c r="H79" s="7">
        <v>45000.0</v>
      </c>
      <c r="I79" s="8">
        <v>323.0</v>
      </c>
      <c r="J79" s="8">
        <v>298.49</v>
      </c>
      <c r="K79" s="8">
        <v>254.01</v>
      </c>
      <c r="L79" s="26">
        <f t="shared" si="1"/>
        <v>96412.27</v>
      </c>
    </row>
    <row r="80">
      <c r="B80" s="6" t="s">
        <v>116</v>
      </c>
      <c r="C80" s="6" t="s">
        <v>26</v>
      </c>
      <c r="D80" s="6" t="s">
        <v>21</v>
      </c>
      <c r="E80" s="6" t="s">
        <v>16</v>
      </c>
      <c r="F80" s="6" t="s">
        <v>28</v>
      </c>
      <c r="G80" s="6" t="s">
        <v>33</v>
      </c>
      <c r="H80" s="7">
        <v>45001.0</v>
      </c>
      <c r="I80" s="8">
        <v>258.0</v>
      </c>
      <c r="J80" s="8">
        <v>291.81</v>
      </c>
      <c r="K80" s="8">
        <v>93.1</v>
      </c>
      <c r="L80" s="26">
        <f t="shared" si="1"/>
        <v>75286.98</v>
      </c>
    </row>
    <row r="81">
      <c r="B81" s="6" t="s">
        <v>117</v>
      </c>
      <c r="C81" s="6" t="s">
        <v>61</v>
      </c>
      <c r="D81" s="6" t="s">
        <v>21</v>
      </c>
      <c r="E81" s="6" t="s">
        <v>16</v>
      </c>
      <c r="F81" s="6" t="s">
        <v>28</v>
      </c>
      <c r="G81" s="6" t="s">
        <v>23</v>
      </c>
      <c r="H81" s="7">
        <v>45002.0</v>
      </c>
      <c r="I81" s="8">
        <v>40.0</v>
      </c>
      <c r="J81" s="8">
        <v>333.0</v>
      </c>
      <c r="K81" s="8">
        <v>94.59</v>
      </c>
      <c r="L81" s="26">
        <f t="shared" si="1"/>
        <v>13320</v>
      </c>
    </row>
    <row r="82">
      <c r="B82" s="6" t="s">
        <v>118</v>
      </c>
      <c r="C82" s="6" t="s">
        <v>20</v>
      </c>
      <c r="D82" s="6" t="s">
        <v>15</v>
      </c>
      <c r="E82" s="6" t="s">
        <v>27</v>
      </c>
      <c r="F82" s="6" t="s">
        <v>28</v>
      </c>
      <c r="G82" s="6" t="s">
        <v>33</v>
      </c>
      <c r="H82" s="7">
        <v>45003.0</v>
      </c>
      <c r="I82" s="8">
        <v>32.0</v>
      </c>
      <c r="J82" s="8">
        <v>52.15</v>
      </c>
      <c r="K82" s="8">
        <v>89.88</v>
      </c>
      <c r="L82" s="26">
        <f t="shared" si="1"/>
        <v>1668.8</v>
      </c>
    </row>
    <row r="83">
      <c r="B83" s="6" t="s">
        <v>119</v>
      </c>
      <c r="C83" s="6" t="s">
        <v>20</v>
      </c>
      <c r="D83" s="6" t="s">
        <v>15</v>
      </c>
      <c r="E83" s="6" t="s">
        <v>16</v>
      </c>
      <c r="F83" s="6" t="s">
        <v>28</v>
      </c>
      <c r="G83" s="6" t="s">
        <v>18</v>
      </c>
      <c r="H83" s="7">
        <v>45004.0</v>
      </c>
      <c r="I83" s="8">
        <v>435.0</v>
      </c>
      <c r="J83" s="8">
        <v>327.8</v>
      </c>
      <c r="K83" s="8">
        <v>71.15</v>
      </c>
      <c r="L83" s="26">
        <f t="shared" si="1"/>
        <v>142593</v>
      </c>
    </row>
    <row r="84">
      <c r="B84" s="6" t="s">
        <v>120</v>
      </c>
      <c r="C84" s="6" t="s">
        <v>14</v>
      </c>
      <c r="D84" s="6" t="s">
        <v>63</v>
      </c>
      <c r="E84" s="6" t="s">
        <v>32</v>
      </c>
      <c r="F84" s="6" t="s">
        <v>28</v>
      </c>
      <c r="G84" s="6" t="s">
        <v>18</v>
      </c>
      <c r="H84" s="7">
        <v>45005.0</v>
      </c>
      <c r="I84" s="8">
        <v>403.0</v>
      </c>
      <c r="J84" s="8">
        <v>159.51</v>
      </c>
      <c r="K84" s="8">
        <v>262.98</v>
      </c>
      <c r="L84" s="26">
        <f t="shared" si="1"/>
        <v>64282.53</v>
      </c>
    </row>
    <row r="85">
      <c r="B85" s="6" t="s">
        <v>121</v>
      </c>
      <c r="C85" s="6" t="s">
        <v>20</v>
      </c>
      <c r="D85" s="6" t="s">
        <v>63</v>
      </c>
      <c r="E85" s="6" t="s">
        <v>27</v>
      </c>
      <c r="F85" s="6" t="s">
        <v>17</v>
      </c>
      <c r="G85" s="6" t="s">
        <v>18</v>
      </c>
      <c r="H85" s="7">
        <v>45006.0</v>
      </c>
      <c r="I85" s="8">
        <v>169.0</v>
      </c>
      <c r="J85" s="6"/>
      <c r="K85" s="8">
        <v>339.51</v>
      </c>
      <c r="L85" s="26">
        <f t="shared" si="1"/>
        <v>0</v>
      </c>
    </row>
    <row r="86">
      <c r="B86" s="6" t="s">
        <v>122</v>
      </c>
      <c r="C86" s="6" t="s">
        <v>14</v>
      </c>
      <c r="D86" s="6" t="s">
        <v>39</v>
      </c>
      <c r="E86" s="6" t="s">
        <v>16</v>
      </c>
      <c r="F86" s="6" t="s">
        <v>17</v>
      </c>
      <c r="G86" s="6" t="s">
        <v>23</v>
      </c>
      <c r="H86" s="7">
        <v>45007.0</v>
      </c>
      <c r="I86" s="8">
        <v>372.0</v>
      </c>
      <c r="J86" s="8">
        <v>429.7</v>
      </c>
      <c r="K86" s="8">
        <v>290.28</v>
      </c>
      <c r="L86" s="26">
        <f t="shared" si="1"/>
        <v>159848.4</v>
      </c>
    </row>
    <row r="87">
      <c r="B87" s="6" t="s">
        <v>123</v>
      </c>
      <c r="C87" s="6" t="s">
        <v>20</v>
      </c>
      <c r="D87" s="6" t="s">
        <v>15</v>
      </c>
      <c r="E87" s="6" t="s">
        <v>55</v>
      </c>
      <c r="F87" s="6" t="s">
        <v>28</v>
      </c>
      <c r="G87" s="6" t="s">
        <v>33</v>
      </c>
      <c r="H87" s="7">
        <v>45008.0</v>
      </c>
      <c r="I87" s="8">
        <v>446.0</v>
      </c>
      <c r="J87" s="8">
        <v>9.47</v>
      </c>
      <c r="K87" s="8">
        <v>317.25</v>
      </c>
      <c r="L87" s="26">
        <f t="shared" si="1"/>
        <v>4223.62</v>
      </c>
    </row>
    <row r="88">
      <c r="B88" s="6" t="s">
        <v>124</v>
      </c>
      <c r="C88" s="6" t="s">
        <v>26</v>
      </c>
      <c r="D88" s="6" t="s">
        <v>21</v>
      </c>
      <c r="E88" s="6" t="s">
        <v>32</v>
      </c>
      <c r="F88" s="6" t="s">
        <v>17</v>
      </c>
      <c r="G88" s="6" t="s">
        <v>18</v>
      </c>
      <c r="H88" s="7">
        <v>45009.0</v>
      </c>
      <c r="I88" s="8">
        <v>167.0</v>
      </c>
      <c r="J88" s="8">
        <v>296.26</v>
      </c>
      <c r="K88" s="8">
        <v>163.11</v>
      </c>
      <c r="L88" s="26">
        <f t="shared" si="1"/>
        <v>49475.42</v>
      </c>
    </row>
    <row r="89">
      <c r="B89" s="6" t="s">
        <v>125</v>
      </c>
      <c r="C89" s="6" t="s">
        <v>20</v>
      </c>
      <c r="D89" s="6" t="s">
        <v>63</v>
      </c>
      <c r="E89" s="6" t="s">
        <v>32</v>
      </c>
      <c r="F89" s="6" t="s">
        <v>28</v>
      </c>
      <c r="G89" s="6" t="s">
        <v>18</v>
      </c>
      <c r="H89" s="7">
        <v>45010.0</v>
      </c>
      <c r="I89" s="8">
        <v>48.0</v>
      </c>
      <c r="J89" s="8">
        <v>301.36</v>
      </c>
      <c r="K89" s="8">
        <v>262.32</v>
      </c>
      <c r="L89" s="26">
        <f t="shared" si="1"/>
        <v>14465.28</v>
      </c>
    </row>
    <row r="90">
      <c r="B90" s="6" t="s">
        <v>126</v>
      </c>
      <c r="C90" s="6" t="s">
        <v>14</v>
      </c>
      <c r="D90" s="6" t="s">
        <v>63</v>
      </c>
      <c r="E90" s="6" t="s">
        <v>32</v>
      </c>
      <c r="F90" s="6" t="s">
        <v>28</v>
      </c>
      <c r="G90" s="6" t="s">
        <v>33</v>
      </c>
      <c r="H90" s="7">
        <v>45011.0</v>
      </c>
      <c r="I90" s="8">
        <v>424.0</v>
      </c>
      <c r="J90" s="8">
        <v>201.35</v>
      </c>
      <c r="K90" s="8">
        <v>142.99</v>
      </c>
      <c r="L90" s="26">
        <f t="shared" si="1"/>
        <v>85372.4</v>
      </c>
    </row>
    <row r="91">
      <c r="B91" s="6" t="s">
        <v>127</v>
      </c>
      <c r="C91" s="6" t="s">
        <v>14</v>
      </c>
      <c r="D91" s="6" t="s">
        <v>21</v>
      </c>
      <c r="E91" s="6" t="s">
        <v>27</v>
      </c>
      <c r="F91" s="6" t="s">
        <v>17</v>
      </c>
      <c r="G91" s="6" t="s">
        <v>18</v>
      </c>
      <c r="H91" s="7">
        <v>45012.0</v>
      </c>
      <c r="I91" s="8">
        <v>91.0</v>
      </c>
      <c r="J91" s="8">
        <v>122.33</v>
      </c>
      <c r="K91" s="8">
        <v>211.15</v>
      </c>
      <c r="L91" s="26">
        <f t="shared" si="1"/>
        <v>11132.03</v>
      </c>
    </row>
    <row r="92">
      <c r="B92" s="6" t="s">
        <v>128</v>
      </c>
      <c r="C92" s="6" t="s">
        <v>61</v>
      </c>
      <c r="D92" s="6" t="s">
        <v>63</v>
      </c>
      <c r="E92" s="6" t="s">
        <v>16</v>
      </c>
      <c r="F92" s="6" t="s">
        <v>17</v>
      </c>
      <c r="G92" s="6" t="s">
        <v>33</v>
      </c>
      <c r="H92" s="7">
        <v>45013.0</v>
      </c>
      <c r="I92" s="8">
        <v>365.0</v>
      </c>
      <c r="J92" s="8">
        <v>121.16</v>
      </c>
      <c r="K92" s="8">
        <v>193.69</v>
      </c>
      <c r="L92" s="26">
        <f t="shared" si="1"/>
        <v>44223.4</v>
      </c>
    </row>
    <row r="93">
      <c r="B93" s="6" t="s">
        <v>129</v>
      </c>
      <c r="C93" s="6" t="s">
        <v>26</v>
      </c>
      <c r="D93" s="6" t="s">
        <v>39</v>
      </c>
      <c r="E93" s="6" t="s">
        <v>16</v>
      </c>
      <c r="F93" s="6" t="s">
        <v>17</v>
      </c>
      <c r="G93" s="6" t="s">
        <v>33</v>
      </c>
      <c r="H93" s="7">
        <v>45014.0</v>
      </c>
      <c r="I93" s="8">
        <v>267.0</v>
      </c>
      <c r="J93" s="8">
        <v>442.44</v>
      </c>
      <c r="K93" s="8">
        <v>72.4</v>
      </c>
      <c r="L93" s="26">
        <f t="shared" si="1"/>
        <v>118131.48</v>
      </c>
    </row>
    <row r="94">
      <c r="B94" s="6" t="s">
        <v>130</v>
      </c>
      <c r="C94" s="6" t="s">
        <v>20</v>
      </c>
      <c r="D94" s="6" t="s">
        <v>15</v>
      </c>
      <c r="E94" s="6" t="s">
        <v>55</v>
      </c>
      <c r="F94" s="6" t="s">
        <v>28</v>
      </c>
      <c r="G94" s="6" t="s">
        <v>33</v>
      </c>
      <c r="H94" s="7">
        <v>45015.0</v>
      </c>
      <c r="I94" s="8">
        <v>215.0</v>
      </c>
      <c r="J94" s="8">
        <v>223.8</v>
      </c>
      <c r="K94" s="8">
        <v>156.06</v>
      </c>
      <c r="L94" s="26">
        <f t="shared" si="1"/>
        <v>48117</v>
      </c>
    </row>
    <row r="95">
      <c r="B95" s="6" t="s">
        <v>131</v>
      </c>
      <c r="C95" s="6" t="s">
        <v>61</v>
      </c>
      <c r="D95" s="6" t="s">
        <v>21</v>
      </c>
      <c r="E95" s="6" t="s">
        <v>55</v>
      </c>
      <c r="F95" s="6" t="s">
        <v>17</v>
      </c>
      <c r="G95" s="6" t="s">
        <v>33</v>
      </c>
      <c r="H95" s="7">
        <v>45016.0</v>
      </c>
      <c r="I95" s="8">
        <v>86.0</v>
      </c>
      <c r="J95" s="8">
        <v>168.79</v>
      </c>
      <c r="K95" s="8">
        <v>385.6</v>
      </c>
      <c r="L95" s="26">
        <f t="shared" si="1"/>
        <v>14515.94</v>
      </c>
    </row>
    <row r="96">
      <c r="B96" s="6" t="s">
        <v>132</v>
      </c>
      <c r="C96" s="6" t="s">
        <v>20</v>
      </c>
      <c r="D96" s="6" t="s">
        <v>15</v>
      </c>
      <c r="E96" s="6" t="s">
        <v>32</v>
      </c>
      <c r="F96" s="6" t="s">
        <v>28</v>
      </c>
      <c r="G96" s="6" t="s">
        <v>33</v>
      </c>
      <c r="H96" s="7">
        <v>45017.0</v>
      </c>
      <c r="I96" s="8">
        <v>486.0</v>
      </c>
      <c r="J96" s="8">
        <v>227.14</v>
      </c>
      <c r="K96" s="8">
        <v>100.93</v>
      </c>
      <c r="L96" s="26">
        <f t="shared" si="1"/>
        <v>110390.04</v>
      </c>
    </row>
    <row r="97">
      <c r="B97" s="6" t="s">
        <v>133</v>
      </c>
      <c r="C97" s="6" t="s">
        <v>20</v>
      </c>
      <c r="D97" s="6" t="s">
        <v>63</v>
      </c>
      <c r="E97" s="6" t="s">
        <v>55</v>
      </c>
      <c r="F97" s="6" t="s">
        <v>28</v>
      </c>
      <c r="G97" s="6" t="s">
        <v>23</v>
      </c>
      <c r="H97" s="7">
        <v>45018.0</v>
      </c>
      <c r="I97" s="8">
        <v>21.0</v>
      </c>
      <c r="J97" s="6"/>
      <c r="K97" s="8">
        <v>55.25</v>
      </c>
      <c r="L97" s="26">
        <f t="shared" si="1"/>
        <v>0</v>
      </c>
    </row>
    <row r="98">
      <c r="B98" s="6" t="s">
        <v>134</v>
      </c>
      <c r="C98" s="6" t="s">
        <v>61</v>
      </c>
      <c r="D98" s="6" t="s">
        <v>63</v>
      </c>
      <c r="E98" s="6" t="s">
        <v>27</v>
      </c>
      <c r="F98" s="6" t="s">
        <v>28</v>
      </c>
      <c r="G98" s="6" t="s">
        <v>18</v>
      </c>
      <c r="H98" s="7">
        <v>45019.0</v>
      </c>
      <c r="I98" s="8">
        <v>304.0</v>
      </c>
      <c r="J98" s="8">
        <v>77.15</v>
      </c>
      <c r="K98" s="8">
        <v>168.6</v>
      </c>
      <c r="L98" s="26">
        <f t="shared" si="1"/>
        <v>23453.6</v>
      </c>
    </row>
    <row r="99">
      <c r="B99" s="6" t="s">
        <v>135</v>
      </c>
      <c r="C99" s="6" t="s">
        <v>61</v>
      </c>
      <c r="D99" s="6" t="s">
        <v>21</v>
      </c>
      <c r="E99" s="6" t="s">
        <v>16</v>
      </c>
      <c r="F99" s="6" t="s">
        <v>17</v>
      </c>
      <c r="G99" s="6" t="s">
        <v>23</v>
      </c>
      <c r="H99" s="7">
        <v>45020.0</v>
      </c>
      <c r="I99" s="8">
        <v>459.0</v>
      </c>
      <c r="J99" s="8">
        <v>227.47</v>
      </c>
      <c r="K99" s="8">
        <v>316.55</v>
      </c>
      <c r="L99" s="26">
        <f t="shared" si="1"/>
        <v>104408.73</v>
      </c>
    </row>
    <row r="100">
      <c r="B100" s="6" t="s">
        <v>136</v>
      </c>
      <c r="C100" s="6" t="s">
        <v>61</v>
      </c>
      <c r="D100" s="6" t="s">
        <v>39</v>
      </c>
      <c r="E100" s="6" t="s">
        <v>32</v>
      </c>
      <c r="F100" s="6" t="s">
        <v>17</v>
      </c>
      <c r="G100" s="6" t="s">
        <v>18</v>
      </c>
      <c r="H100" s="7">
        <v>45021.0</v>
      </c>
      <c r="I100" s="8">
        <v>233.0</v>
      </c>
      <c r="J100" s="8">
        <v>296.0</v>
      </c>
      <c r="K100" s="8">
        <v>233.69</v>
      </c>
      <c r="L100" s="26">
        <f t="shared" si="1"/>
        <v>68968</v>
      </c>
    </row>
    <row r="101">
      <c r="B101" s="6" t="s">
        <v>137</v>
      </c>
      <c r="C101" s="6" t="s">
        <v>61</v>
      </c>
      <c r="D101" s="6" t="s">
        <v>31</v>
      </c>
      <c r="E101" s="6" t="s">
        <v>55</v>
      </c>
      <c r="F101" s="6" t="s">
        <v>28</v>
      </c>
      <c r="G101" s="6" t="s">
        <v>23</v>
      </c>
      <c r="H101" s="7">
        <v>45022.0</v>
      </c>
      <c r="I101" s="8">
        <v>22.0</v>
      </c>
      <c r="J101" s="8">
        <v>474.55</v>
      </c>
      <c r="K101" s="8">
        <v>273.03</v>
      </c>
      <c r="L101" s="26">
        <f t="shared" si="1"/>
        <v>10440.1</v>
      </c>
    </row>
    <row r="102">
      <c r="B102" s="6" t="s">
        <v>138</v>
      </c>
      <c r="C102" s="6" t="s">
        <v>61</v>
      </c>
      <c r="D102" s="6" t="s">
        <v>21</v>
      </c>
      <c r="E102" s="6" t="s">
        <v>27</v>
      </c>
      <c r="F102" s="6" t="s">
        <v>17</v>
      </c>
      <c r="G102" s="6" t="s">
        <v>33</v>
      </c>
      <c r="H102" s="7">
        <v>45023.0</v>
      </c>
      <c r="I102" s="8">
        <v>55.0</v>
      </c>
      <c r="J102" s="8">
        <v>130.0</v>
      </c>
      <c r="K102" s="8">
        <v>77.5</v>
      </c>
      <c r="L102" s="26">
        <f t="shared" si="1"/>
        <v>7150</v>
      </c>
    </row>
    <row r="103">
      <c r="B103" s="6" t="s">
        <v>139</v>
      </c>
      <c r="C103" s="6" t="s">
        <v>20</v>
      </c>
      <c r="D103" s="6" t="s">
        <v>31</v>
      </c>
      <c r="E103" s="6" t="s">
        <v>27</v>
      </c>
      <c r="F103" s="6" t="s">
        <v>17</v>
      </c>
      <c r="G103" s="6" t="s">
        <v>18</v>
      </c>
      <c r="H103" s="7">
        <v>45024.0</v>
      </c>
      <c r="I103" s="8">
        <v>164.0</v>
      </c>
      <c r="J103" s="8">
        <v>182.83</v>
      </c>
      <c r="K103" s="8">
        <v>248.34</v>
      </c>
      <c r="L103" s="26">
        <f t="shared" si="1"/>
        <v>29984.12</v>
      </c>
    </row>
    <row r="104">
      <c r="B104" s="6" t="s">
        <v>140</v>
      </c>
      <c r="C104" s="6" t="s">
        <v>61</v>
      </c>
      <c r="D104" s="6" t="s">
        <v>31</v>
      </c>
      <c r="E104" s="6" t="s">
        <v>55</v>
      </c>
      <c r="F104" s="6" t="s">
        <v>17</v>
      </c>
      <c r="G104" s="6" t="s">
        <v>18</v>
      </c>
      <c r="H104" s="7">
        <v>45025.0</v>
      </c>
      <c r="I104" s="8">
        <v>122.0</v>
      </c>
      <c r="J104" s="8">
        <v>192.78</v>
      </c>
      <c r="K104" s="8">
        <v>130.75</v>
      </c>
      <c r="L104" s="26">
        <f t="shared" si="1"/>
        <v>23519.16</v>
      </c>
    </row>
    <row r="105">
      <c r="B105" s="6" t="s">
        <v>141</v>
      </c>
      <c r="C105" s="6" t="s">
        <v>26</v>
      </c>
      <c r="D105" s="6" t="s">
        <v>39</v>
      </c>
      <c r="E105" s="6" t="s">
        <v>16</v>
      </c>
      <c r="F105" s="6" t="s">
        <v>28</v>
      </c>
      <c r="G105" s="6" t="s">
        <v>23</v>
      </c>
      <c r="H105" s="7">
        <v>45026.0</v>
      </c>
      <c r="I105" s="8">
        <v>242.0</v>
      </c>
      <c r="J105" s="8">
        <v>304.74</v>
      </c>
      <c r="K105" s="8">
        <v>334.05</v>
      </c>
      <c r="L105" s="26">
        <f t="shared" si="1"/>
        <v>73747.08</v>
      </c>
    </row>
    <row r="106">
      <c r="B106" s="6" t="s">
        <v>142</v>
      </c>
      <c r="C106" s="6" t="s">
        <v>14</v>
      </c>
      <c r="D106" s="6" t="s">
        <v>31</v>
      </c>
      <c r="E106" s="6" t="s">
        <v>55</v>
      </c>
      <c r="F106" s="6" t="s">
        <v>28</v>
      </c>
      <c r="G106" s="6" t="s">
        <v>23</v>
      </c>
      <c r="H106" s="7">
        <v>45027.0</v>
      </c>
      <c r="I106" s="8">
        <v>26.0</v>
      </c>
      <c r="J106" s="8">
        <v>181.58</v>
      </c>
      <c r="K106" s="8">
        <v>252.46</v>
      </c>
      <c r="L106" s="26">
        <f t="shared" si="1"/>
        <v>4721.08</v>
      </c>
    </row>
    <row r="107">
      <c r="B107" s="6" t="s">
        <v>143</v>
      </c>
      <c r="C107" s="6" t="s">
        <v>61</v>
      </c>
      <c r="D107" s="6" t="s">
        <v>31</v>
      </c>
      <c r="E107" s="6" t="s">
        <v>32</v>
      </c>
      <c r="F107" s="6" t="s">
        <v>17</v>
      </c>
      <c r="G107" s="6" t="s">
        <v>18</v>
      </c>
      <c r="H107" s="7">
        <v>45028.0</v>
      </c>
      <c r="I107" s="8">
        <v>369.0</v>
      </c>
      <c r="J107" s="8">
        <v>269.09</v>
      </c>
      <c r="K107" s="8">
        <v>81.14</v>
      </c>
      <c r="L107" s="26">
        <f t="shared" si="1"/>
        <v>99294.21</v>
      </c>
    </row>
    <row r="108">
      <c r="B108" s="6" t="s">
        <v>144</v>
      </c>
      <c r="C108" s="6" t="s">
        <v>61</v>
      </c>
      <c r="D108" s="6" t="s">
        <v>39</v>
      </c>
      <c r="E108" s="6" t="s">
        <v>55</v>
      </c>
      <c r="F108" s="6" t="s">
        <v>28</v>
      </c>
      <c r="G108" s="6" t="s">
        <v>23</v>
      </c>
      <c r="H108" s="7">
        <v>45029.0</v>
      </c>
      <c r="I108" s="8">
        <v>232.0</v>
      </c>
      <c r="J108" s="8">
        <v>391.99</v>
      </c>
      <c r="K108" s="8">
        <v>27.72</v>
      </c>
      <c r="L108" s="26">
        <f t="shared" si="1"/>
        <v>90941.68</v>
      </c>
    </row>
    <row r="109">
      <c r="B109" s="6" t="s">
        <v>145</v>
      </c>
      <c r="C109" s="6" t="s">
        <v>20</v>
      </c>
      <c r="D109" s="6" t="s">
        <v>31</v>
      </c>
      <c r="E109" s="6" t="s">
        <v>27</v>
      </c>
      <c r="F109" s="6" t="s">
        <v>17</v>
      </c>
      <c r="G109" s="6" t="s">
        <v>23</v>
      </c>
      <c r="H109" s="7">
        <v>45030.0</v>
      </c>
      <c r="I109" s="8">
        <v>363.0</v>
      </c>
      <c r="J109" s="8">
        <v>354.17</v>
      </c>
      <c r="K109" s="8">
        <v>18.97</v>
      </c>
      <c r="L109" s="26">
        <f t="shared" si="1"/>
        <v>128563.71</v>
      </c>
    </row>
    <row r="110">
      <c r="B110" s="6" t="s">
        <v>146</v>
      </c>
      <c r="C110" s="6" t="s">
        <v>61</v>
      </c>
      <c r="D110" s="6" t="s">
        <v>31</v>
      </c>
      <c r="E110" s="6" t="s">
        <v>55</v>
      </c>
      <c r="F110" s="6" t="s">
        <v>17</v>
      </c>
      <c r="G110" s="6" t="s">
        <v>23</v>
      </c>
      <c r="H110" s="7">
        <v>45031.0</v>
      </c>
      <c r="I110" s="8">
        <v>197.0</v>
      </c>
      <c r="J110" s="8">
        <v>225.95</v>
      </c>
      <c r="K110" s="8">
        <v>149.82</v>
      </c>
      <c r="L110" s="26">
        <f t="shared" si="1"/>
        <v>44512.15</v>
      </c>
    </row>
    <row r="111">
      <c r="B111" s="6" t="s">
        <v>147</v>
      </c>
      <c r="C111" s="6" t="s">
        <v>61</v>
      </c>
      <c r="D111" s="6" t="s">
        <v>31</v>
      </c>
      <c r="E111" s="6" t="s">
        <v>16</v>
      </c>
      <c r="F111" s="6" t="s">
        <v>17</v>
      </c>
      <c r="G111" s="6" t="s">
        <v>33</v>
      </c>
      <c r="H111" s="7">
        <v>45032.0</v>
      </c>
      <c r="I111" s="8">
        <v>457.0</v>
      </c>
      <c r="J111" s="8">
        <v>432.79</v>
      </c>
      <c r="K111" s="8">
        <v>107.81</v>
      </c>
      <c r="L111" s="26">
        <f t="shared" si="1"/>
        <v>197785.03</v>
      </c>
    </row>
    <row r="112">
      <c r="B112" s="6" t="s">
        <v>148</v>
      </c>
      <c r="C112" s="6" t="s">
        <v>61</v>
      </c>
      <c r="D112" s="6" t="s">
        <v>21</v>
      </c>
      <c r="E112" s="6" t="s">
        <v>22</v>
      </c>
      <c r="F112" s="6" t="s">
        <v>17</v>
      </c>
      <c r="G112" s="6" t="s">
        <v>33</v>
      </c>
      <c r="H112" s="7">
        <v>45033.0</v>
      </c>
      <c r="I112" s="8">
        <v>353.0</v>
      </c>
      <c r="J112" s="8">
        <v>281.28</v>
      </c>
      <c r="K112" s="8">
        <v>259.14</v>
      </c>
      <c r="L112" s="26">
        <f t="shared" si="1"/>
        <v>99291.84</v>
      </c>
    </row>
    <row r="113">
      <c r="B113" s="6" t="s">
        <v>149</v>
      </c>
      <c r="C113" s="6" t="s">
        <v>20</v>
      </c>
      <c r="D113" s="6" t="s">
        <v>21</v>
      </c>
      <c r="E113" s="6" t="s">
        <v>55</v>
      </c>
      <c r="F113" s="6" t="s">
        <v>28</v>
      </c>
      <c r="G113" s="6" t="s">
        <v>23</v>
      </c>
      <c r="H113" s="7">
        <v>45034.0</v>
      </c>
      <c r="I113" s="8">
        <v>374.0</v>
      </c>
      <c r="J113" s="8">
        <v>272.25</v>
      </c>
      <c r="K113" s="8">
        <v>200.73</v>
      </c>
      <c r="L113" s="26">
        <f t="shared" si="1"/>
        <v>101821.5</v>
      </c>
    </row>
    <row r="114">
      <c r="B114" s="6" t="s">
        <v>150</v>
      </c>
      <c r="C114" s="6" t="s">
        <v>61</v>
      </c>
      <c r="D114" s="6" t="s">
        <v>21</v>
      </c>
      <c r="E114" s="6" t="s">
        <v>16</v>
      </c>
      <c r="F114" s="6" t="s">
        <v>28</v>
      </c>
      <c r="G114" s="6" t="s">
        <v>23</v>
      </c>
      <c r="H114" s="7">
        <v>45035.0</v>
      </c>
      <c r="I114" s="8">
        <v>172.0</v>
      </c>
      <c r="J114" s="8">
        <v>21.92</v>
      </c>
      <c r="K114" s="8">
        <v>107.88</v>
      </c>
      <c r="L114" s="26">
        <f t="shared" si="1"/>
        <v>3770.24</v>
      </c>
    </row>
    <row r="115">
      <c r="B115" s="6" t="s">
        <v>151</v>
      </c>
      <c r="C115" s="6" t="s">
        <v>14</v>
      </c>
      <c r="D115" s="6" t="s">
        <v>39</v>
      </c>
      <c r="E115" s="6" t="s">
        <v>16</v>
      </c>
      <c r="F115" s="6" t="s">
        <v>28</v>
      </c>
      <c r="G115" s="6" t="s">
        <v>33</v>
      </c>
      <c r="H115" s="7">
        <v>45036.0</v>
      </c>
      <c r="I115" s="8">
        <v>335.0</v>
      </c>
      <c r="J115" s="8">
        <v>493.41</v>
      </c>
      <c r="K115" s="8">
        <v>61.4</v>
      </c>
      <c r="L115" s="26">
        <f t="shared" si="1"/>
        <v>165292.35</v>
      </c>
    </row>
    <row r="116">
      <c r="B116" s="6" t="s">
        <v>152</v>
      </c>
      <c r="C116" s="6" t="s">
        <v>20</v>
      </c>
      <c r="D116" s="6" t="s">
        <v>63</v>
      </c>
      <c r="E116" s="6" t="s">
        <v>27</v>
      </c>
      <c r="F116" s="6" t="s">
        <v>17</v>
      </c>
      <c r="G116" s="6" t="s">
        <v>33</v>
      </c>
      <c r="H116" s="7">
        <v>45037.0</v>
      </c>
      <c r="I116" s="8">
        <v>476.0</v>
      </c>
      <c r="J116" s="8">
        <v>65.87</v>
      </c>
      <c r="K116" s="8">
        <v>52.63</v>
      </c>
      <c r="L116" s="26">
        <f t="shared" si="1"/>
        <v>31354.12</v>
      </c>
    </row>
    <row r="117">
      <c r="B117" s="6" t="s">
        <v>153</v>
      </c>
      <c r="C117" s="6" t="s">
        <v>14</v>
      </c>
      <c r="D117" s="6" t="s">
        <v>31</v>
      </c>
      <c r="E117" s="6" t="s">
        <v>16</v>
      </c>
      <c r="F117" s="6" t="s">
        <v>17</v>
      </c>
      <c r="G117" s="6" t="s">
        <v>18</v>
      </c>
      <c r="H117" s="7">
        <v>45038.0</v>
      </c>
      <c r="I117" s="8">
        <v>423.0</v>
      </c>
      <c r="J117" s="8">
        <v>119.41</v>
      </c>
      <c r="K117" s="8">
        <v>346.13</v>
      </c>
      <c r="L117" s="26">
        <f t="shared" si="1"/>
        <v>50510.43</v>
      </c>
    </row>
    <row r="118">
      <c r="B118" s="6" t="s">
        <v>154</v>
      </c>
      <c r="C118" s="6" t="s">
        <v>20</v>
      </c>
      <c r="D118" s="6" t="s">
        <v>31</v>
      </c>
      <c r="E118" s="6" t="s">
        <v>16</v>
      </c>
      <c r="F118" s="6" t="s">
        <v>17</v>
      </c>
      <c r="G118" s="6" t="s">
        <v>18</v>
      </c>
      <c r="H118" s="7">
        <v>45039.0</v>
      </c>
      <c r="I118" s="8">
        <v>464.0</v>
      </c>
      <c r="J118" s="8">
        <v>30.59</v>
      </c>
      <c r="K118" s="8">
        <v>98.9</v>
      </c>
      <c r="L118" s="26">
        <f t="shared" si="1"/>
        <v>14193.76</v>
      </c>
    </row>
    <row r="119">
      <c r="B119" s="6" t="s">
        <v>155</v>
      </c>
      <c r="C119" s="6" t="s">
        <v>61</v>
      </c>
      <c r="D119" s="6" t="s">
        <v>39</v>
      </c>
      <c r="E119" s="6" t="s">
        <v>16</v>
      </c>
      <c r="F119" s="6" t="s">
        <v>28</v>
      </c>
      <c r="G119" s="6" t="s">
        <v>33</v>
      </c>
      <c r="H119" s="7">
        <v>45040.0</v>
      </c>
      <c r="I119" s="8">
        <v>83.0</v>
      </c>
      <c r="J119" s="8">
        <v>321.8</v>
      </c>
      <c r="K119" s="8">
        <v>261.38</v>
      </c>
      <c r="L119" s="26">
        <f t="shared" si="1"/>
        <v>26709.4</v>
      </c>
    </row>
    <row r="120">
      <c r="B120" s="6" t="s">
        <v>156</v>
      </c>
      <c r="C120" s="6" t="s">
        <v>14</v>
      </c>
      <c r="D120" s="6" t="s">
        <v>31</v>
      </c>
      <c r="E120" s="6" t="s">
        <v>16</v>
      </c>
      <c r="F120" s="6" t="s">
        <v>17</v>
      </c>
      <c r="G120" s="6" t="s">
        <v>23</v>
      </c>
      <c r="H120" s="7">
        <v>45041.0</v>
      </c>
      <c r="I120" s="8">
        <v>242.0</v>
      </c>
      <c r="J120" s="8">
        <v>116.23</v>
      </c>
      <c r="K120" s="8">
        <v>324.65</v>
      </c>
      <c r="L120" s="26">
        <f t="shared" si="1"/>
        <v>28127.66</v>
      </c>
    </row>
    <row r="121">
      <c r="B121" s="6" t="s">
        <v>157</v>
      </c>
      <c r="C121" s="6" t="s">
        <v>20</v>
      </c>
      <c r="D121" s="6" t="s">
        <v>21</v>
      </c>
      <c r="E121" s="6" t="s">
        <v>32</v>
      </c>
      <c r="F121" s="6" t="s">
        <v>28</v>
      </c>
      <c r="G121" s="6" t="s">
        <v>23</v>
      </c>
      <c r="H121" s="7">
        <v>45042.0</v>
      </c>
      <c r="I121" s="8">
        <v>233.0</v>
      </c>
      <c r="J121" s="8">
        <v>94.11</v>
      </c>
      <c r="K121" s="8">
        <v>246.4</v>
      </c>
      <c r="L121" s="26">
        <f t="shared" si="1"/>
        <v>21927.63</v>
      </c>
    </row>
    <row r="122">
      <c r="B122" s="6" t="s">
        <v>158</v>
      </c>
      <c r="C122" s="6" t="s">
        <v>26</v>
      </c>
      <c r="D122" s="6" t="s">
        <v>63</v>
      </c>
      <c r="E122" s="6" t="s">
        <v>32</v>
      </c>
      <c r="F122" s="6" t="s">
        <v>28</v>
      </c>
      <c r="G122" s="6" t="s">
        <v>23</v>
      </c>
      <c r="H122" s="7">
        <v>45043.0</v>
      </c>
      <c r="I122" s="8">
        <v>491.0</v>
      </c>
      <c r="J122" s="8">
        <v>48.84</v>
      </c>
      <c r="K122" s="8">
        <v>344.11</v>
      </c>
      <c r="L122" s="26">
        <f t="shared" si="1"/>
        <v>23980.44</v>
      </c>
    </row>
    <row r="123">
      <c r="B123" s="6" t="s">
        <v>159</v>
      </c>
      <c r="C123" s="6"/>
      <c r="D123" s="6" t="s">
        <v>15</v>
      </c>
      <c r="E123" s="6" t="s">
        <v>27</v>
      </c>
      <c r="F123" s="6" t="s">
        <v>28</v>
      </c>
      <c r="G123" s="6" t="s">
        <v>23</v>
      </c>
      <c r="H123" s="7">
        <v>45044.0</v>
      </c>
      <c r="I123" s="8">
        <v>328.0</v>
      </c>
      <c r="J123" s="8">
        <v>56.14</v>
      </c>
      <c r="K123" s="8">
        <v>158.17</v>
      </c>
      <c r="L123" s="26">
        <f t="shared" si="1"/>
        <v>18413.92</v>
      </c>
    </row>
    <row r="124">
      <c r="B124" s="6" t="s">
        <v>160</v>
      </c>
      <c r="C124" s="6" t="s">
        <v>20</v>
      </c>
      <c r="D124" s="6" t="s">
        <v>31</v>
      </c>
      <c r="E124" s="6" t="s">
        <v>55</v>
      </c>
      <c r="F124" s="6" t="s">
        <v>28</v>
      </c>
      <c r="G124" s="6" t="s">
        <v>18</v>
      </c>
      <c r="H124" s="7">
        <v>45045.0</v>
      </c>
      <c r="I124" s="8">
        <v>421.0</v>
      </c>
      <c r="J124" s="8">
        <v>294.41</v>
      </c>
      <c r="K124" s="8">
        <v>382.58</v>
      </c>
      <c r="L124" s="26">
        <f t="shared" si="1"/>
        <v>123946.61</v>
      </c>
    </row>
    <row r="125">
      <c r="B125" s="6" t="s">
        <v>161</v>
      </c>
      <c r="C125" s="6" t="s">
        <v>26</v>
      </c>
      <c r="D125" s="6" t="s">
        <v>21</v>
      </c>
      <c r="E125" s="6" t="s">
        <v>16</v>
      </c>
      <c r="F125" s="6" t="s">
        <v>28</v>
      </c>
      <c r="G125" s="6" t="s">
        <v>33</v>
      </c>
      <c r="H125" s="7">
        <v>45046.0</v>
      </c>
      <c r="I125" s="8">
        <v>69.0</v>
      </c>
      <c r="J125" s="8">
        <v>345.66</v>
      </c>
      <c r="K125" s="8">
        <v>54.99</v>
      </c>
      <c r="L125" s="26">
        <f t="shared" si="1"/>
        <v>23850.54</v>
      </c>
    </row>
    <row r="126">
      <c r="B126" s="6" t="s">
        <v>162</v>
      </c>
      <c r="C126" s="6" t="s">
        <v>20</v>
      </c>
      <c r="D126" s="6" t="s">
        <v>15</v>
      </c>
      <c r="E126" s="6" t="s">
        <v>55</v>
      </c>
      <c r="F126" s="6" t="s">
        <v>28</v>
      </c>
      <c r="G126" s="6" t="s">
        <v>23</v>
      </c>
      <c r="H126" s="7">
        <v>45047.0</v>
      </c>
      <c r="I126" s="8">
        <v>344.0</v>
      </c>
      <c r="J126" s="8">
        <v>201.7</v>
      </c>
      <c r="K126" s="8">
        <v>42.66</v>
      </c>
      <c r="L126" s="26">
        <f t="shared" si="1"/>
        <v>69384.8</v>
      </c>
    </row>
    <row r="127">
      <c r="B127" s="6" t="s">
        <v>163</v>
      </c>
      <c r="C127" s="6"/>
      <c r="D127" s="6" t="s">
        <v>63</v>
      </c>
      <c r="E127" s="6" t="s">
        <v>55</v>
      </c>
      <c r="F127" s="6" t="s">
        <v>17</v>
      </c>
      <c r="G127" s="6" t="s">
        <v>18</v>
      </c>
      <c r="H127" s="7">
        <v>45048.0</v>
      </c>
      <c r="I127" s="8">
        <v>231.0</v>
      </c>
      <c r="J127" s="8">
        <v>242.55</v>
      </c>
      <c r="K127" s="8">
        <v>264.16</v>
      </c>
      <c r="L127" s="26">
        <f t="shared" si="1"/>
        <v>56029.05</v>
      </c>
    </row>
    <row r="128">
      <c r="B128" s="6" t="s">
        <v>164</v>
      </c>
      <c r="C128" s="6" t="s">
        <v>61</v>
      </c>
      <c r="D128" s="6" t="s">
        <v>15</v>
      </c>
      <c r="E128" s="6" t="s">
        <v>27</v>
      </c>
      <c r="F128" s="6" t="s">
        <v>17</v>
      </c>
      <c r="G128" s="6" t="s">
        <v>23</v>
      </c>
      <c r="H128" s="7">
        <v>45049.0</v>
      </c>
      <c r="I128" s="8">
        <v>46.0</v>
      </c>
      <c r="J128" s="8">
        <v>344.55</v>
      </c>
      <c r="K128" s="8">
        <v>377.25</v>
      </c>
      <c r="L128" s="26">
        <f t="shared" si="1"/>
        <v>15849.3</v>
      </c>
    </row>
    <row r="129">
      <c r="B129" s="6" t="s">
        <v>165</v>
      </c>
      <c r="C129" s="6" t="s">
        <v>14</v>
      </c>
      <c r="D129" s="6" t="s">
        <v>21</v>
      </c>
      <c r="E129" s="6" t="s">
        <v>16</v>
      </c>
      <c r="F129" s="6" t="s">
        <v>28</v>
      </c>
      <c r="G129" s="6" t="s">
        <v>33</v>
      </c>
      <c r="H129" s="7">
        <v>45050.0</v>
      </c>
      <c r="I129" s="8">
        <v>486.0</v>
      </c>
      <c r="J129" s="8">
        <v>13.6</v>
      </c>
      <c r="K129" s="8">
        <v>323.94</v>
      </c>
      <c r="L129" s="26">
        <f t="shared" si="1"/>
        <v>6609.6</v>
      </c>
    </row>
    <row r="130">
      <c r="B130" s="6" t="s">
        <v>166</v>
      </c>
      <c r="C130" s="6" t="s">
        <v>26</v>
      </c>
      <c r="D130" s="6" t="s">
        <v>15</v>
      </c>
      <c r="E130" s="6" t="s">
        <v>16</v>
      </c>
      <c r="F130" s="6" t="s">
        <v>28</v>
      </c>
      <c r="G130" s="6" t="s">
        <v>18</v>
      </c>
      <c r="H130" s="7">
        <v>45051.0</v>
      </c>
      <c r="I130" s="8">
        <v>287.0</v>
      </c>
      <c r="J130" s="8">
        <v>164.95</v>
      </c>
      <c r="K130" s="8">
        <v>32.41</v>
      </c>
      <c r="L130" s="26">
        <f t="shared" si="1"/>
        <v>47340.65</v>
      </c>
    </row>
    <row r="131">
      <c r="B131" s="6" t="s">
        <v>167</v>
      </c>
      <c r="C131" s="6" t="s">
        <v>20</v>
      </c>
      <c r="D131" s="6" t="s">
        <v>39</v>
      </c>
      <c r="E131" s="6" t="s">
        <v>22</v>
      </c>
      <c r="F131" s="6" t="s">
        <v>17</v>
      </c>
      <c r="G131" s="6" t="s">
        <v>33</v>
      </c>
      <c r="H131" s="7">
        <v>45052.0</v>
      </c>
      <c r="I131" s="8">
        <v>205.0</v>
      </c>
      <c r="J131" s="8">
        <v>486.68</v>
      </c>
      <c r="K131" s="8">
        <v>113.19</v>
      </c>
      <c r="L131" s="26">
        <f t="shared" si="1"/>
        <v>99769.4</v>
      </c>
    </row>
    <row r="132">
      <c r="B132" s="6" t="s">
        <v>168</v>
      </c>
      <c r="C132" s="6" t="s">
        <v>61</v>
      </c>
      <c r="D132" s="6" t="s">
        <v>15</v>
      </c>
      <c r="E132" s="6" t="s">
        <v>55</v>
      </c>
      <c r="F132" s="6" t="s">
        <v>28</v>
      </c>
      <c r="G132" s="6" t="s">
        <v>33</v>
      </c>
      <c r="H132" s="7">
        <v>45053.0</v>
      </c>
      <c r="I132" s="8">
        <v>413.0</v>
      </c>
      <c r="J132" s="8">
        <v>292.16</v>
      </c>
      <c r="K132" s="8">
        <v>372.27</v>
      </c>
      <c r="L132" s="26">
        <f t="shared" si="1"/>
        <v>120662.08</v>
      </c>
    </row>
    <row r="133">
      <c r="B133" s="6" t="s">
        <v>169</v>
      </c>
      <c r="C133" s="6" t="s">
        <v>26</v>
      </c>
      <c r="D133" s="6" t="s">
        <v>31</v>
      </c>
      <c r="E133" s="6" t="s">
        <v>55</v>
      </c>
      <c r="F133" s="6" t="s">
        <v>28</v>
      </c>
      <c r="G133" s="6" t="s">
        <v>18</v>
      </c>
      <c r="H133" s="7">
        <v>45054.0</v>
      </c>
      <c r="I133" s="8">
        <v>361.0</v>
      </c>
      <c r="J133" s="8">
        <v>130.84</v>
      </c>
      <c r="K133" s="8">
        <v>102.72</v>
      </c>
      <c r="L133" s="26">
        <f t="shared" si="1"/>
        <v>47233.24</v>
      </c>
    </row>
    <row r="134">
      <c r="B134" s="6" t="s">
        <v>170</v>
      </c>
      <c r="C134" s="6" t="s">
        <v>20</v>
      </c>
      <c r="D134" s="6" t="s">
        <v>31</v>
      </c>
      <c r="E134" s="6" t="s">
        <v>32</v>
      </c>
      <c r="F134" s="6" t="s">
        <v>17</v>
      </c>
      <c r="G134" s="6" t="s">
        <v>18</v>
      </c>
      <c r="H134" s="7">
        <v>45055.0</v>
      </c>
      <c r="I134" s="8">
        <v>493.0</v>
      </c>
      <c r="J134" s="8">
        <v>263.26</v>
      </c>
      <c r="K134" s="8">
        <v>312.91</v>
      </c>
      <c r="L134" s="26">
        <f t="shared" si="1"/>
        <v>129787.18</v>
      </c>
    </row>
    <row r="135">
      <c r="B135" s="6" t="s">
        <v>171</v>
      </c>
      <c r="C135" s="6" t="s">
        <v>20</v>
      </c>
      <c r="D135" s="6" t="s">
        <v>39</v>
      </c>
      <c r="E135" s="6" t="s">
        <v>22</v>
      </c>
      <c r="F135" s="6" t="s">
        <v>28</v>
      </c>
      <c r="G135" s="6" t="s">
        <v>18</v>
      </c>
      <c r="H135" s="7">
        <v>45056.0</v>
      </c>
      <c r="I135" s="8">
        <v>251.0</v>
      </c>
      <c r="J135" s="8">
        <v>174.61</v>
      </c>
      <c r="K135" s="8">
        <v>330.4</v>
      </c>
      <c r="L135" s="26">
        <f t="shared" si="1"/>
        <v>43827.11</v>
      </c>
    </row>
    <row r="136">
      <c r="B136" s="6" t="s">
        <v>172</v>
      </c>
      <c r="C136" s="6" t="s">
        <v>20</v>
      </c>
      <c r="D136" s="6" t="s">
        <v>21</v>
      </c>
      <c r="E136" s="6" t="s">
        <v>32</v>
      </c>
      <c r="F136" s="6" t="s">
        <v>28</v>
      </c>
      <c r="G136" s="6" t="s">
        <v>18</v>
      </c>
      <c r="H136" s="7">
        <v>45057.0</v>
      </c>
      <c r="I136" s="6"/>
      <c r="J136" s="8">
        <v>268.46</v>
      </c>
      <c r="K136" s="8">
        <v>199.19</v>
      </c>
      <c r="L136" s="26">
        <f t="shared" si="1"/>
        <v>0</v>
      </c>
    </row>
    <row r="137">
      <c r="B137" s="6" t="s">
        <v>173</v>
      </c>
      <c r="C137" s="6" t="s">
        <v>26</v>
      </c>
      <c r="D137" s="6" t="s">
        <v>31</v>
      </c>
      <c r="E137" s="6" t="s">
        <v>32</v>
      </c>
      <c r="F137" s="6" t="s">
        <v>28</v>
      </c>
      <c r="G137" s="6" t="s">
        <v>18</v>
      </c>
      <c r="H137" s="7">
        <v>45058.0</v>
      </c>
      <c r="I137" s="8">
        <v>228.0</v>
      </c>
      <c r="J137" s="8">
        <v>67.24</v>
      </c>
      <c r="K137" s="8">
        <v>155.77</v>
      </c>
      <c r="L137" s="26">
        <f t="shared" si="1"/>
        <v>15330.72</v>
      </c>
    </row>
    <row r="138">
      <c r="B138" s="6" t="s">
        <v>174</v>
      </c>
      <c r="C138" s="6" t="s">
        <v>26</v>
      </c>
      <c r="D138" s="6" t="s">
        <v>63</v>
      </c>
      <c r="E138" s="6" t="s">
        <v>32</v>
      </c>
      <c r="F138" s="6" t="s">
        <v>17</v>
      </c>
      <c r="G138" s="6" t="s">
        <v>18</v>
      </c>
      <c r="H138" s="7">
        <v>45059.0</v>
      </c>
      <c r="I138" s="8">
        <v>201.0</v>
      </c>
      <c r="J138" s="8">
        <v>70.69</v>
      </c>
      <c r="K138" s="8">
        <v>181.15</v>
      </c>
      <c r="L138" s="26">
        <f t="shared" si="1"/>
        <v>14208.69</v>
      </c>
    </row>
    <row r="139">
      <c r="B139" s="6" t="s">
        <v>175</v>
      </c>
      <c r="C139" s="6" t="s">
        <v>26</v>
      </c>
      <c r="D139" s="6" t="s">
        <v>31</v>
      </c>
      <c r="E139" s="6" t="s">
        <v>27</v>
      </c>
      <c r="F139" s="6" t="s">
        <v>17</v>
      </c>
      <c r="G139" s="6" t="s">
        <v>18</v>
      </c>
      <c r="H139" s="7">
        <v>45060.0</v>
      </c>
      <c r="I139" s="8">
        <v>26.0</v>
      </c>
      <c r="J139" s="8">
        <v>76.05</v>
      </c>
      <c r="K139" s="8">
        <v>92.33</v>
      </c>
      <c r="L139" s="26">
        <f t="shared" si="1"/>
        <v>1977.3</v>
      </c>
    </row>
    <row r="140">
      <c r="B140" s="6" t="s">
        <v>176</v>
      </c>
      <c r="C140" s="6" t="s">
        <v>14</v>
      </c>
      <c r="D140" s="6" t="s">
        <v>31</v>
      </c>
      <c r="E140" s="6" t="s">
        <v>27</v>
      </c>
      <c r="F140" s="6" t="s">
        <v>17</v>
      </c>
      <c r="G140" s="6" t="s">
        <v>23</v>
      </c>
      <c r="H140" s="7">
        <v>45061.0</v>
      </c>
      <c r="I140" s="8">
        <v>21.0</v>
      </c>
      <c r="J140" s="8">
        <v>470.21</v>
      </c>
      <c r="K140" s="8">
        <v>355.98</v>
      </c>
      <c r="L140" s="26">
        <f t="shared" si="1"/>
        <v>9874.41</v>
      </c>
    </row>
    <row r="141">
      <c r="B141" s="6" t="s">
        <v>177</v>
      </c>
      <c r="C141" s="6" t="s">
        <v>26</v>
      </c>
      <c r="D141" s="6" t="s">
        <v>21</v>
      </c>
      <c r="E141" s="6" t="s">
        <v>32</v>
      </c>
      <c r="F141" s="6" t="s">
        <v>28</v>
      </c>
      <c r="G141" s="6" t="s">
        <v>33</v>
      </c>
      <c r="H141" s="7">
        <v>45062.0</v>
      </c>
      <c r="I141" s="8">
        <v>415.0</v>
      </c>
      <c r="J141" s="8">
        <v>367.78</v>
      </c>
      <c r="K141" s="8">
        <v>181.35</v>
      </c>
      <c r="L141" s="26">
        <f t="shared" si="1"/>
        <v>152628.7</v>
      </c>
    </row>
    <row r="142">
      <c r="B142" s="6" t="s">
        <v>178</v>
      </c>
      <c r="C142" s="6" t="s">
        <v>26</v>
      </c>
      <c r="D142" s="6" t="s">
        <v>15</v>
      </c>
      <c r="E142" s="6" t="s">
        <v>22</v>
      </c>
      <c r="F142" s="6" t="s">
        <v>28</v>
      </c>
      <c r="G142" s="6" t="s">
        <v>18</v>
      </c>
      <c r="H142" s="7">
        <v>45063.0</v>
      </c>
      <c r="I142" s="8">
        <v>410.0</v>
      </c>
      <c r="J142" s="8">
        <v>85.38</v>
      </c>
      <c r="K142" s="8">
        <v>353.22</v>
      </c>
      <c r="L142" s="26">
        <f t="shared" si="1"/>
        <v>35005.8</v>
      </c>
    </row>
    <row r="143">
      <c r="B143" s="6" t="s">
        <v>179</v>
      </c>
      <c r="C143" s="6" t="s">
        <v>26</v>
      </c>
      <c r="D143" s="6" t="s">
        <v>31</v>
      </c>
      <c r="E143" s="6" t="s">
        <v>55</v>
      </c>
      <c r="F143" s="6" t="s">
        <v>17</v>
      </c>
      <c r="G143" s="6" t="s">
        <v>23</v>
      </c>
      <c r="H143" s="7">
        <v>45064.0</v>
      </c>
      <c r="I143" s="8">
        <v>403.0</v>
      </c>
      <c r="J143" s="8">
        <v>98.23</v>
      </c>
      <c r="K143" s="8">
        <v>44.07</v>
      </c>
      <c r="L143" s="26">
        <f t="shared" si="1"/>
        <v>39586.69</v>
      </c>
    </row>
    <row r="144">
      <c r="B144" s="6" t="s">
        <v>180</v>
      </c>
      <c r="C144" s="6" t="s">
        <v>14</v>
      </c>
      <c r="D144" s="6" t="s">
        <v>39</v>
      </c>
      <c r="E144" s="6" t="s">
        <v>22</v>
      </c>
      <c r="F144" s="6" t="s">
        <v>28</v>
      </c>
      <c r="G144" s="6" t="s">
        <v>23</v>
      </c>
      <c r="H144" s="7">
        <v>45065.0</v>
      </c>
      <c r="I144" s="8">
        <v>383.0</v>
      </c>
      <c r="J144" s="8">
        <v>366.76</v>
      </c>
      <c r="K144" s="8">
        <v>395.33</v>
      </c>
      <c r="L144" s="26">
        <f t="shared" si="1"/>
        <v>140469.08</v>
      </c>
    </row>
    <row r="145">
      <c r="B145" s="6" t="s">
        <v>181</v>
      </c>
      <c r="C145" s="6" t="s">
        <v>26</v>
      </c>
      <c r="D145" s="6" t="s">
        <v>15</v>
      </c>
      <c r="E145" s="6" t="s">
        <v>16</v>
      </c>
      <c r="F145" s="6" t="s">
        <v>28</v>
      </c>
      <c r="G145" s="6" t="s">
        <v>23</v>
      </c>
      <c r="H145" s="7">
        <v>45066.0</v>
      </c>
      <c r="I145" s="8">
        <v>202.0</v>
      </c>
      <c r="J145" s="8">
        <v>82.3</v>
      </c>
      <c r="K145" s="8">
        <v>178.42</v>
      </c>
      <c r="L145" s="26">
        <f t="shared" si="1"/>
        <v>16624.6</v>
      </c>
    </row>
    <row r="146">
      <c r="B146" s="6" t="s">
        <v>182</v>
      </c>
      <c r="C146" s="6" t="s">
        <v>20</v>
      </c>
      <c r="D146" s="6" t="s">
        <v>63</v>
      </c>
      <c r="E146" s="6" t="s">
        <v>27</v>
      </c>
      <c r="F146" s="6" t="s">
        <v>28</v>
      </c>
      <c r="G146" s="6" t="s">
        <v>33</v>
      </c>
      <c r="H146" s="7">
        <v>45067.0</v>
      </c>
      <c r="I146" s="8">
        <v>31.0</v>
      </c>
      <c r="J146" s="8">
        <v>121.11</v>
      </c>
      <c r="K146" s="8">
        <v>21.04</v>
      </c>
      <c r="L146" s="26">
        <f t="shared" si="1"/>
        <v>3754.41</v>
      </c>
    </row>
    <row r="147">
      <c r="B147" s="6" t="s">
        <v>183</v>
      </c>
      <c r="C147" s="6" t="s">
        <v>26</v>
      </c>
      <c r="D147" s="6" t="s">
        <v>21</v>
      </c>
      <c r="E147" s="6" t="s">
        <v>55</v>
      </c>
      <c r="F147" s="6" t="s">
        <v>28</v>
      </c>
      <c r="G147" s="6" t="s">
        <v>18</v>
      </c>
      <c r="H147" s="7">
        <v>45068.0</v>
      </c>
      <c r="I147" s="8">
        <v>483.0</v>
      </c>
      <c r="J147" s="8">
        <v>481.86</v>
      </c>
      <c r="K147" s="8">
        <v>17.13</v>
      </c>
      <c r="L147" s="26">
        <f t="shared" si="1"/>
        <v>232738.38</v>
      </c>
    </row>
    <row r="148">
      <c r="B148" s="6" t="s">
        <v>184</v>
      </c>
      <c r="C148" s="6" t="s">
        <v>20</v>
      </c>
      <c r="D148" s="6" t="s">
        <v>63</v>
      </c>
      <c r="E148" s="6" t="s">
        <v>55</v>
      </c>
      <c r="F148" s="6" t="s">
        <v>28</v>
      </c>
      <c r="G148" s="6" t="s">
        <v>23</v>
      </c>
      <c r="H148" s="7">
        <v>45069.0</v>
      </c>
      <c r="I148" s="8">
        <v>129.0</v>
      </c>
      <c r="J148" s="8">
        <v>131.38</v>
      </c>
      <c r="K148" s="8">
        <v>298.99</v>
      </c>
      <c r="L148" s="26">
        <f t="shared" si="1"/>
        <v>16948.02</v>
      </c>
    </row>
    <row r="149">
      <c r="B149" s="6" t="s">
        <v>185</v>
      </c>
      <c r="C149" s="6" t="s">
        <v>20</v>
      </c>
      <c r="D149" s="6" t="s">
        <v>15</v>
      </c>
      <c r="E149" s="6" t="s">
        <v>16</v>
      </c>
      <c r="F149" s="6" t="s">
        <v>17</v>
      </c>
      <c r="G149" s="6" t="s">
        <v>33</v>
      </c>
      <c r="H149" s="7">
        <v>45070.0</v>
      </c>
      <c r="I149" s="8">
        <v>219.0</v>
      </c>
      <c r="J149" s="8">
        <v>332.51</v>
      </c>
      <c r="K149" s="8">
        <v>264.3</v>
      </c>
      <c r="L149" s="26">
        <f t="shared" si="1"/>
        <v>72819.69</v>
      </c>
    </row>
    <row r="150">
      <c r="B150" s="6" t="s">
        <v>186</v>
      </c>
      <c r="C150" s="6" t="s">
        <v>20</v>
      </c>
      <c r="D150" s="6" t="s">
        <v>15</v>
      </c>
      <c r="E150" s="6" t="s">
        <v>16</v>
      </c>
      <c r="F150" s="6" t="s">
        <v>28</v>
      </c>
      <c r="G150" s="6" t="s">
        <v>33</v>
      </c>
      <c r="H150" s="7">
        <v>45071.0</v>
      </c>
      <c r="I150" s="8">
        <v>315.0</v>
      </c>
      <c r="J150" s="8">
        <v>489.42</v>
      </c>
      <c r="K150" s="8">
        <v>321.25</v>
      </c>
      <c r="L150" s="26">
        <f t="shared" si="1"/>
        <v>154167.3</v>
      </c>
    </row>
    <row r="151">
      <c r="B151" s="6" t="s">
        <v>187</v>
      </c>
      <c r="C151" s="6" t="s">
        <v>14</v>
      </c>
      <c r="D151" s="6" t="s">
        <v>15</v>
      </c>
      <c r="E151" s="6" t="s">
        <v>32</v>
      </c>
      <c r="F151" s="6" t="s">
        <v>17</v>
      </c>
      <c r="G151" s="6" t="s">
        <v>33</v>
      </c>
      <c r="H151" s="7">
        <v>45072.0</v>
      </c>
      <c r="I151" s="8">
        <v>279.0</v>
      </c>
      <c r="J151" s="8">
        <v>190.28</v>
      </c>
      <c r="K151" s="8">
        <v>43.94</v>
      </c>
      <c r="L151" s="26">
        <f t="shared" si="1"/>
        <v>53088.12</v>
      </c>
    </row>
    <row r="152">
      <c r="B152" s="6" t="s">
        <v>188</v>
      </c>
      <c r="C152" s="6" t="s">
        <v>14</v>
      </c>
      <c r="D152" s="6" t="s">
        <v>63</v>
      </c>
      <c r="E152" s="6" t="s">
        <v>27</v>
      </c>
      <c r="F152" s="6" t="s">
        <v>28</v>
      </c>
      <c r="G152" s="6" t="s">
        <v>23</v>
      </c>
      <c r="H152" s="7">
        <v>45073.0</v>
      </c>
      <c r="I152" s="8">
        <v>201.0</v>
      </c>
      <c r="J152" s="8">
        <v>13.67</v>
      </c>
      <c r="K152" s="8">
        <v>16.16</v>
      </c>
      <c r="L152" s="26">
        <f t="shared" si="1"/>
        <v>2747.67</v>
      </c>
    </row>
    <row r="153">
      <c r="B153" s="6" t="s">
        <v>189</v>
      </c>
      <c r="C153" s="6" t="s">
        <v>14</v>
      </c>
      <c r="D153" s="6" t="s">
        <v>15</v>
      </c>
      <c r="E153" s="6" t="s">
        <v>27</v>
      </c>
      <c r="F153" s="6" t="s">
        <v>17</v>
      </c>
      <c r="G153" s="6" t="s">
        <v>18</v>
      </c>
      <c r="H153" s="7">
        <v>45074.0</v>
      </c>
      <c r="I153" s="8">
        <v>184.0</v>
      </c>
      <c r="J153" s="8">
        <v>125.85</v>
      </c>
      <c r="K153" s="8">
        <v>204.41</v>
      </c>
      <c r="L153" s="26">
        <f t="shared" si="1"/>
        <v>23156.4</v>
      </c>
    </row>
    <row r="154">
      <c r="B154" s="6" t="s">
        <v>190</v>
      </c>
      <c r="C154" s="6" t="s">
        <v>26</v>
      </c>
      <c r="D154" s="6" t="s">
        <v>63</v>
      </c>
      <c r="E154" s="6" t="s">
        <v>22</v>
      </c>
      <c r="F154" s="6" t="s">
        <v>28</v>
      </c>
      <c r="G154" s="6" t="s">
        <v>23</v>
      </c>
      <c r="H154" s="7">
        <v>45075.0</v>
      </c>
      <c r="I154" s="8">
        <v>294.0</v>
      </c>
      <c r="J154" s="8">
        <v>416.28</v>
      </c>
      <c r="K154" s="8">
        <v>156.26</v>
      </c>
      <c r="L154" s="26">
        <f t="shared" si="1"/>
        <v>122386.32</v>
      </c>
    </row>
    <row r="155">
      <c r="B155" s="6" t="s">
        <v>191</v>
      </c>
      <c r="C155" s="6" t="s">
        <v>20</v>
      </c>
      <c r="D155" s="6" t="s">
        <v>15</v>
      </c>
      <c r="E155" s="6" t="s">
        <v>32</v>
      </c>
      <c r="F155" s="6" t="s">
        <v>17</v>
      </c>
      <c r="G155" s="6" t="s">
        <v>23</v>
      </c>
      <c r="H155" s="7">
        <v>45076.0</v>
      </c>
      <c r="I155" s="8">
        <v>213.0</v>
      </c>
      <c r="J155" s="8">
        <v>432.98</v>
      </c>
      <c r="K155" s="8">
        <v>185.85</v>
      </c>
      <c r="L155" s="26">
        <f t="shared" si="1"/>
        <v>92224.74</v>
      </c>
    </row>
    <row r="156">
      <c r="B156" s="6" t="s">
        <v>192</v>
      </c>
      <c r="C156" s="6" t="s">
        <v>14</v>
      </c>
      <c r="D156" s="6" t="s">
        <v>39</v>
      </c>
      <c r="E156" s="6" t="s">
        <v>32</v>
      </c>
      <c r="F156" s="6" t="s">
        <v>28</v>
      </c>
      <c r="G156" s="6" t="s">
        <v>18</v>
      </c>
      <c r="H156" s="7">
        <v>45077.0</v>
      </c>
      <c r="I156" s="8">
        <v>173.0</v>
      </c>
      <c r="J156" s="8">
        <v>385.42</v>
      </c>
      <c r="K156" s="8">
        <v>396.65</v>
      </c>
      <c r="L156" s="26">
        <f t="shared" si="1"/>
        <v>66677.66</v>
      </c>
    </row>
    <row r="157">
      <c r="B157" s="6" t="s">
        <v>193</v>
      </c>
      <c r="C157" s="6" t="s">
        <v>14</v>
      </c>
      <c r="D157" s="6" t="s">
        <v>15</v>
      </c>
      <c r="E157" s="6" t="s">
        <v>32</v>
      </c>
      <c r="F157" s="6" t="s">
        <v>17</v>
      </c>
      <c r="G157" s="6" t="s">
        <v>18</v>
      </c>
      <c r="H157" s="7">
        <v>45078.0</v>
      </c>
      <c r="I157" s="8">
        <v>260.0</v>
      </c>
      <c r="J157" s="8">
        <v>60.99</v>
      </c>
      <c r="K157" s="8">
        <v>388.36</v>
      </c>
      <c r="L157" s="26">
        <f t="shared" si="1"/>
        <v>15857.4</v>
      </c>
    </row>
    <row r="158">
      <c r="B158" s="6" t="s">
        <v>194</v>
      </c>
      <c r="C158" s="6" t="s">
        <v>26</v>
      </c>
      <c r="D158" s="6" t="s">
        <v>63</v>
      </c>
      <c r="E158" s="6" t="s">
        <v>32</v>
      </c>
      <c r="F158" s="6" t="s">
        <v>28</v>
      </c>
      <c r="G158" s="6" t="s">
        <v>18</v>
      </c>
      <c r="H158" s="7">
        <v>45079.0</v>
      </c>
      <c r="I158" s="8">
        <v>236.0</v>
      </c>
      <c r="J158" s="8">
        <v>398.78</v>
      </c>
      <c r="K158" s="8">
        <v>377.04</v>
      </c>
      <c r="L158" s="26">
        <f t="shared" si="1"/>
        <v>94112.08</v>
      </c>
    </row>
    <row r="159">
      <c r="B159" s="6" t="s">
        <v>195</v>
      </c>
      <c r="C159" s="6" t="s">
        <v>14</v>
      </c>
      <c r="D159" s="6" t="s">
        <v>31</v>
      </c>
      <c r="E159" s="6" t="s">
        <v>27</v>
      </c>
      <c r="F159" s="6" t="s">
        <v>17</v>
      </c>
      <c r="G159" s="6" t="s">
        <v>33</v>
      </c>
      <c r="H159" s="7">
        <v>45080.0</v>
      </c>
      <c r="I159" s="8">
        <v>445.0</v>
      </c>
      <c r="J159" s="8">
        <v>459.75</v>
      </c>
      <c r="K159" s="8">
        <v>313.97</v>
      </c>
      <c r="L159" s="26">
        <f t="shared" si="1"/>
        <v>204588.75</v>
      </c>
    </row>
    <row r="160">
      <c r="B160" s="6" t="s">
        <v>196</v>
      </c>
      <c r="C160" s="6" t="s">
        <v>26</v>
      </c>
      <c r="D160" s="6" t="s">
        <v>15</v>
      </c>
      <c r="E160" s="6" t="s">
        <v>27</v>
      </c>
      <c r="F160" s="6" t="s">
        <v>28</v>
      </c>
      <c r="G160" s="6" t="s">
        <v>18</v>
      </c>
      <c r="H160" s="7">
        <v>45081.0</v>
      </c>
      <c r="I160" s="8">
        <v>390.0</v>
      </c>
      <c r="J160" s="8">
        <v>302.3</v>
      </c>
      <c r="K160" s="8">
        <v>143.23</v>
      </c>
      <c r="L160" s="26">
        <f t="shared" si="1"/>
        <v>117897</v>
      </c>
    </row>
    <row r="161">
      <c r="B161" s="6" t="s">
        <v>197</v>
      </c>
      <c r="C161" s="6" t="s">
        <v>61</v>
      </c>
      <c r="D161" s="6" t="s">
        <v>31</v>
      </c>
      <c r="E161" s="6" t="s">
        <v>32</v>
      </c>
      <c r="F161" s="6" t="s">
        <v>17</v>
      </c>
      <c r="G161" s="6" t="s">
        <v>23</v>
      </c>
      <c r="H161" s="7">
        <v>45082.0</v>
      </c>
      <c r="I161" s="8">
        <v>469.0</v>
      </c>
      <c r="J161" s="8">
        <v>470.73</v>
      </c>
      <c r="K161" s="8">
        <v>166.03</v>
      </c>
      <c r="L161" s="26">
        <f t="shared" si="1"/>
        <v>220772.37</v>
      </c>
    </row>
    <row r="162">
      <c r="B162" s="6" t="s">
        <v>198</v>
      </c>
      <c r="C162" s="6" t="s">
        <v>14</v>
      </c>
      <c r="D162" s="6" t="s">
        <v>39</v>
      </c>
      <c r="E162" s="6" t="s">
        <v>22</v>
      </c>
      <c r="F162" s="6" t="s">
        <v>17</v>
      </c>
      <c r="G162" s="6" t="s">
        <v>18</v>
      </c>
      <c r="H162" s="7">
        <v>45083.0</v>
      </c>
      <c r="I162" s="8">
        <v>16.0</v>
      </c>
      <c r="J162" s="6"/>
      <c r="K162" s="8">
        <v>220.75</v>
      </c>
      <c r="L162" s="26">
        <f t="shared" si="1"/>
        <v>0</v>
      </c>
    </row>
    <row r="163">
      <c r="B163" s="6" t="s">
        <v>199</v>
      </c>
      <c r="C163" s="6" t="s">
        <v>61</v>
      </c>
      <c r="D163" s="6" t="s">
        <v>21</v>
      </c>
      <c r="E163" s="6" t="s">
        <v>55</v>
      </c>
      <c r="F163" s="6" t="s">
        <v>28</v>
      </c>
      <c r="G163" s="6" t="s">
        <v>23</v>
      </c>
      <c r="H163" s="7">
        <v>45084.0</v>
      </c>
      <c r="I163" s="8">
        <v>38.0</v>
      </c>
      <c r="J163" s="8">
        <v>335.15</v>
      </c>
      <c r="K163" s="8">
        <v>332.55</v>
      </c>
      <c r="L163" s="26">
        <f t="shared" si="1"/>
        <v>12735.7</v>
      </c>
    </row>
    <row r="164">
      <c r="B164" s="6" t="s">
        <v>200</v>
      </c>
      <c r="C164" s="6" t="s">
        <v>26</v>
      </c>
      <c r="D164" s="6" t="s">
        <v>39</v>
      </c>
      <c r="E164" s="6"/>
      <c r="F164" s="6" t="s">
        <v>28</v>
      </c>
      <c r="G164" s="6" t="s">
        <v>33</v>
      </c>
      <c r="H164" s="7">
        <v>45085.0</v>
      </c>
      <c r="I164" s="8">
        <v>404.0</v>
      </c>
      <c r="J164" s="8">
        <v>290.71</v>
      </c>
      <c r="K164" s="8">
        <v>29.35</v>
      </c>
      <c r="L164" s="26">
        <f t="shared" si="1"/>
        <v>117446.84</v>
      </c>
    </row>
    <row r="165">
      <c r="B165" s="6" t="s">
        <v>201</v>
      </c>
      <c r="C165" s="6" t="s">
        <v>20</v>
      </c>
      <c r="D165" s="6" t="s">
        <v>15</v>
      </c>
      <c r="E165" s="6" t="s">
        <v>22</v>
      </c>
      <c r="F165" s="6" t="s">
        <v>17</v>
      </c>
      <c r="G165" s="6" t="s">
        <v>23</v>
      </c>
      <c r="H165" s="7">
        <v>45086.0</v>
      </c>
      <c r="I165" s="8">
        <v>42.0</v>
      </c>
      <c r="J165" s="8">
        <v>177.54</v>
      </c>
      <c r="K165" s="8">
        <v>170.87</v>
      </c>
      <c r="L165" s="26">
        <f t="shared" si="1"/>
        <v>7456.68</v>
      </c>
    </row>
    <row r="166">
      <c r="B166" s="6" t="s">
        <v>202</v>
      </c>
      <c r="C166" s="6" t="s">
        <v>14</v>
      </c>
      <c r="D166" s="6" t="s">
        <v>31</v>
      </c>
      <c r="E166" s="6" t="s">
        <v>32</v>
      </c>
      <c r="F166" s="6" t="s">
        <v>28</v>
      </c>
      <c r="G166" s="6" t="s">
        <v>23</v>
      </c>
      <c r="H166" s="7">
        <v>45087.0</v>
      </c>
      <c r="I166" s="8">
        <v>143.0</v>
      </c>
      <c r="J166" s="8">
        <v>83.85</v>
      </c>
      <c r="K166" s="8">
        <v>34.88</v>
      </c>
      <c r="L166" s="26">
        <f t="shared" si="1"/>
        <v>11990.55</v>
      </c>
    </row>
    <row r="167">
      <c r="B167" s="6" t="s">
        <v>203</v>
      </c>
      <c r="C167" s="6" t="s">
        <v>26</v>
      </c>
      <c r="D167" s="6" t="s">
        <v>31</v>
      </c>
      <c r="E167" s="6" t="s">
        <v>27</v>
      </c>
      <c r="F167" s="6" t="s">
        <v>17</v>
      </c>
      <c r="G167" s="6" t="s">
        <v>18</v>
      </c>
      <c r="H167" s="7">
        <v>45088.0</v>
      </c>
      <c r="I167" s="8">
        <v>376.0</v>
      </c>
      <c r="J167" s="8">
        <v>304.45</v>
      </c>
      <c r="K167" s="8">
        <v>206.83</v>
      </c>
      <c r="L167" s="26">
        <f t="shared" si="1"/>
        <v>114473.2</v>
      </c>
    </row>
    <row r="168">
      <c r="B168" s="6" t="s">
        <v>204</v>
      </c>
      <c r="C168" s="6" t="s">
        <v>20</v>
      </c>
      <c r="D168" s="6" t="s">
        <v>63</v>
      </c>
      <c r="E168" s="6" t="s">
        <v>55</v>
      </c>
      <c r="F168" s="6" t="s">
        <v>17</v>
      </c>
      <c r="G168" s="6" t="s">
        <v>18</v>
      </c>
      <c r="H168" s="7">
        <v>45089.0</v>
      </c>
      <c r="I168" s="8">
        <v>88.0</v>
      </c>
      <c r="J168" s="8">
        <v>162.47</v>
      </c>
      <c r="K168" s="8">
        <v>359.76</v>
      </c>
      <c r="L168" s="26">
        <f t="shared" si="1"/>
        <v>14297.36</v>
      </c>
    </row>
    <row r="169">
      <c r="B169" s="6" t="s">
        <v>205</v>
      </c>
      <c r="C169" s="6" t="s">
        <v>20</v>
      </c>
      <c r="D169" s="6" t="s">
        <v>31</v>
      </c>
      <c r="E169" s="6" t="s">
        <v>16</v>
      </c>
      <c r="F169" s="6" t="s">
        <v>17</v>
      </c>
      <c r="G169" s="6" t="s">
        <v>23</v>
      </c>
      <c r="H169" s="7">
        <v>45090.0</v>
      </c>
      <c r="I169" s="8">
        <v>425.0</v>
      </c>
      <c r="J169" s="8">
        <v>433.89</v>
      </c>
      <c r="K169" s="8">
        <v>313.43</v>
      </c>
      <c r="L169" s="26">
        <f t="shared" si="1"/>
        <v>184403.25</v>
      </c>
    </row>
    <row r="170">
      <c r="B170" s="6" t="s">
        <v>206</v>
      </c>
      <c r="C170" s="6" t="s">
        <v>61</v>
      </c>
      <c r="D170" s="6" t="s">
        <v>63</v>
      </c>
      <c r="E170" s="6" t="s">
        <v>16</v>
      </c>
      <c r="F170" s="6" t="s">
        <v>28</v>
      </c>
      <c r="G170" s="6" t="s">
        <v>18</v>
      </c>
      <c r="H170" s="7">
        <v>45091.0</v>
      </c>
      <c r="I170" s="8">
        <v>444.0</v>
      </c>
      <c r="J170" s="8">
        <v>496.7</v>
      </c>
      <c r="K170" s="8">
        <v>92.68</v>
      </c>
      <c r="L170" s="26">
        <f t="shared" si="1"/>
        <v>220534.8</v>
      </c>
    </row>
    <row r="171">
      <c r="B171" s="6" t="s">
        <v>207</v>
      </c>
      <c r="C171" s="6" t="s">
        <v>26</v>
      </c>
      <c r="D171" s="6" t="s">
        <v>21</v>
      </c>
      <c r="E171" s="6" t="s">
        <v>22</v>
      </c>
      <c r="F171" s="6" t="s">
        <v>17</v>
      </c>
      <c r="G171" s="6" t="s">
        <v>33</v>
      </c>
      <c r="H171" s="7">
        <v>45092.0</v>
      </c>
      <c r="I171" s="8">
        <v>468.0</v>
      </c>
      <c r="J171" s="8">
        <v>377.45</v>
      </c>
      <c r="K171" s="8">
        <v>390.44</v>
      </c>
      <c r="L171" s="26">
        <f t="shared" si="1"/>
        <v>176646.6</v>
      </c>
    </row>
    <row r="172">
      <c r="B172" s="6" t="s">
        <v>208</v>
      </c>
      <c r="C172" s="6" t="s">
        <v>20</v>
      </c>
      <c r="D172" s="6" t="s">
        <v>15</v>
      </c>
      <c r="E172" s="6" t="s">
        <v>32</v>
      </c>
      <c r="F172" s="6" t="s">
        <v>17</v>
      </c>
      <c r="G172" s="6" t="s">
        <v>33</v>
      </c>
      <c r="H172" s="7">
        <v>45093.0</v>
      </c>
      <c r="I172" s="8">
        <v>67.0</v>
      </c>
      <c r="J172" s="8">
        <v>49.79</v>
      </c>
      <c r="K172" s="8">
        <v>267.61</v>
      </c>
      <c r="L172" s="26">
        <f t="shared" si="1"/>
        <v>3335.93</v>
      </c>
    </row>
    <row r="173">
      <c r="B173" s="6" t="s">
        <v>209</v>
      </c>
      <c r="C173" s="6" t="s">
        <v>14</v>
      </c>
      <c r="D173" s="6" t="s">
        <v>63</v>
      </c>
      <c r="E173" s="6" t="s">
        <v>55</v>
      </c>
      <c r="F173" s="6" t="s">
        <v>28</v>
      </c>
      <c r="G173" s="6" t="s">
        <v>18</v>
      </c>
      <c r="H173" s="7">
        <v>45094.0</v>
      </c>
      <c r="I173" s="8">
        <v>480.0</v>
      </c>
      <c r="J173" s="8">
        <v>147.9</v>
      </c>
      <c r="K173" s="8">
        <v>6.15</v>
      </c>
      <c r="L173" s="26">
        <f t="shared" si="1"/>
        <v>70992</v>
      </c>
    </row>
    <row r="174">
      <c r="B174" s="6" t="s">
        <v>210</v>
      </c>
      <c r="C174" s="6" t="s">
        <v>14</v>
      </c>
      <c r="D174" s="6" t="s">
        <v>21</v>
      </c>
      <c r="E174" s="6" t="s">
        <v>32</v>
      </c>
      <c r="F174" s="6" t="s">
        <v>28</v>
      </c>
      <c r="G174" s="6" t="s">
        <v>33</v>
      </c>
      <c r="H174" s="7">
        <v>45095.0</v>
      </c>
      <c r="I174" s="8">
        <v>35.0</v>
      </c>
      <c r="J174" s="8">
        <v>59.01</v>
      </c>
      <c r="K174" s="8">
        <v>103.65</v>
      </c>
      <c r="L174" s="26">
        <f t="shared" si="1"/>
        <v>2065.35</v>
      </c>
    </row>
    <row r="175">
      <c r="B175" s="6" t="s">
        <v>211</v>
      </c>
      <c r="C175" s="6" t="s">
        <v>61</v>
      </c>
      <c r="D175" s="6" t="s">
        <v>31</v>
      </c>
      <c r="E175" s="6" t="s">
        <v>55</v>
      </c>
      <c r="F175" s="6" t="s">
        <v>28</v>
      </c>
      <c r="G175" s="6" t="s">
        <v>18</v>
      </c>
      <c r="H175" s="7">
        <v>45096.0</v>
      </c>
      <c r="I175" s="8">
        <v>491.0</v>
      </c>
      <c r="J175" s="8">
        <v>327.0</v>
      </c>
      <c r="K175" s="8">
        <v>105.76</v>
      </c>
      <c r="L175" s="26">
        <f t="shared" si="1"/>
        <v>160557</v>
      </c>
    </row>
    <row r="176">
      <c r="B176" s="6" t="s">
        <v>212</v>
      </c>
      <c r="C176" s="6" t="s">
        <v>20</v>
      </c>
      <c r="D176" s="6" t="s">
        <v>31</v>
      </c>
      <c r="E176" s="6" t="s">
        <v>22</v>
      </c>
      <c r="F176" s="6" t="s">
        <v>28</v>
      </c>
      <c r="G176" s="6" t="s">
        <v>23</v>
      </c>
      <c r="H176" s="7">
        <v>45097.0</v>
      </c>
      <c r="I176" s="8">
        <v>439.0</v>
      </c>
      <c r="J176" s="8">
        <v>383.77</v>
      </c>
      <c r="K176" s="8">
        <v>29.56</v>
      </c>
      <c r="L176" s="26">
        <f t="shared" si="1"/>
        <v>168475.03</v>
      </c>
    </row>
    <row r="177">
      <c r="B177" s="6" t="s">
        <v>213</v>
      </c>
      <c r="C177" s="6" t="s">
        <v>26</v>
      </c>
      <c r="D177" s="6" t="s">
        <v>21</v>
      </c>
      <c r="E177" s="6" t="s">
        <v>22</v>
      </c>
      <c r="F177" s="6" t="s">
        <v>17</v>
      </c>
      <c r="G177" s="6" t="s">
        <v>23</v>
      </c>
      <c r="H177" s="7">
        <v>45098.0</v>
      </c>
      <c r="I177" s="8">
        <v>235.0</v>
      </c>
      <c r="J177" s="8">
        <v>463.21</v>
      </c>
      <c r="K177" s="8">
        <v>384.01</v>
      </c>
      <c r="L177" s="26">
        <f t="shared" si="1"/>
        <v>108854.35</v>
      </c>
    </row>
    <row r="178">
      <c r="B178" s="6" t="s">
        <v>214</v>
      </c>
      <c r="C178" s="6" t="s">
        <v>14</v>
      </c>
      <c r="D178" s="6" t="s">
        <v>31</v>
      </c>
      <c r="E178" s="6" t="s">
        <v>16</v>
      </c>
      <c r="F178" s="6" t="s">
        <v>17</v>
      </c>
      <c r="G178" s="6" t="s">
        <v>33</v>
      </c>
      <c r="H178" s="7">
        <v>45099.0</v>
      </c>
      <c r="I178" s="8">
        <v>294.0</v>
      </c>
      <c r="J178" s="8">
        <v>221.9</v>
      </c>
      <c r="K178" s="8">
        <v>192.35</v>
      </c>
      <c r="L178" s="26">
        <f t="shared" si="1"/>
        <v>65238.6</v>
      </c>
    </row>
    <row r="179">
      <c r="B179" s="6" t="s">
        <v>215</v>
      </c>
      <c r="C179" s="6" t="s">
        <v>20</v>
      </c>
      <c r="D179" s="6" t="s">
        <v>21</v>
      </c>
      <c r="E179" s="6" t="s">
        <v>32</v>
      </c>
      <c r="F179" s="6" t="s">
        <v>17</v>
      </c>
      <c r="G179" s="6" t="s">
        <v>18</v>
      </c>
      <c r="H179" s="7">
        <v>45100.0</v>
      </c>
      <c r="I179" s="8">
        <v>13.0</v>
      </c>
      <c r="J179" s="8">
        <v>451.18</v>
      </c>
      <c r="K179" s="8">
        <v>358.53</v>
      </c>
      <c r="L179" s="26">
        <f t="shared" si="1"/>
        <v>5865.34</v>
      </c>
    </row>
    <row r="180">
      <c r="B180" s="6" t="s">
        <v>216</v>
      </c>
      <c r="C180" s="6" t="s">
        <v>20</v>
      </c>
      <c r="D180" s="6" t="s">
        <v>63</v>
      </c>
      <c r="E180" s="6" t="s">
        <v>16</v>
      </c>
      <c r="F180" s="6" t="s">
        <v>17</v>
      </c>
      <c r="G180" s="6" t="s">
        <v>18</v>
      </c>
      <c r="H180" s="7">
        <v>45101.0</v>
      </c>
      <c r="I180" s="8">
        <v>474.0</v>
      </c>
      <c r="J180" s="8">
        <v>439.56</v>
      </c>
      <c r="K180" s="8">
        <v>130.24</v>
      </c>
      <c r="L180" s="26">
        <f t="shared" si="1"/>
        <v>208351.44</v>
      </c>
    </row>
    <row r="181">
      <c r="B181" s="6" t="s">
        <v>217</v>
      </c>
      <c r="C181" s="6" t="s">
        <v>61</v>
      </c>
      <c r="D181" s="6" t="s">
        <v>63</v>
      </c>
      <c r="E181" s="6" t="s">
        <v>32</v>
      </c>
      <c r="F181" s="6" t="s">
        <v>28</v>
      </c>
      <c r="G181" s="6" t="s">
        <v>33</v>
      </c>
      <c r="H181" s="7">
        <v>45102.0</v>
      </c>
      <c r="I181" s="8">
        <v>108.0</v>
      </c>
      <c r="J181" s="8">
        <v>162.01</v>
      </c>
      <c r="K181" s="8">
        <v>51.84</v>
      </c>
      <c r="L181" s="26">
        <f t="shared" si="1"/>
        <v>17497.08</v>
      </c>
    </row>
    <row r="182">
      <c r="B182" s="6" t="s">
        <v>218</v>
      </c>
      <c r="C182" s="6" t="s">
        <v>14</v>
      </c>
      <c r="D182" s="6" t="s">
        <v>21</v>
      </c>
      <c r="E182" s="6" t="s">
        <v>16</v>
      </c>
      <c r="F182" s="6" t="s">
        <v>17</v>
      </c>
      <c r="G182" s="6" t="s">
        <v>23</v>
      </c>
      <c r="H182" s="7">
        <v>45103.0</v>
      </c>
      <c r="I182" s="8">
        <v>406.0</v>
      </c>
      <c r="J182" s="8">
        <v>435.11</v>
      </c>
      <c r="K182" s="8">
        <v>190.79</v>
      </c>
      <c r="L182" s="26">
        <f t="shared" si="1"/>
        <v>176654.66</v>
      </c>
    </row>
    <row r="183">
      <c r="B183" s="6" t="s">
        <v>219</v>
      </c>
      <c r="C183" s="6" t="s">
        <v>14</v>
      </c>
      <c r="D183" s="6" t="s">
        <v>63</v>
      </c>
      <c r="E183" s="6" t="s">
        <v>27</v>
      </c>
      <c r="F183" s="6" t="s">
        <v>17</v>
      </c>
      <c r="G183" s="6" t="s">
        <v>33</v>
      </c>
      <c r="H183" s="7">
        <v>45104.0</v>
      </c>
      <c r="I183" s="8">
        <v>498.0</v>
      </c>
      <c r="J183" s="8">
        <v>190.96</v>
      </c>
      <c r="K183" s="8">
        <v>47.35</v>
      </c>
      <c r="L183" s="26">
        <f t="shared" si="1"/>
        <v>95098.08</v>
      </c>
    </row>
    <row r="184">
      <c r="B184" s="6" t="s">
        <v>220</v>
      </c>
      <c r="C184" s="6" t="s">
        <v>26</v>
      </c>
      <c r="D184" s="6" t="s">
        <v>63</v>
      </c>
      <c r="E184" s="6" t="s">
        <v>27</v>
      </c>
      <c r="F184" s="6" t="s">
        <v>28</v>
      </c>
      <c r="G184" s="6" t="s">
        <v>23</v>
      </c>
      <c r="H184" s="7">
        <v>45105.0</v>
      </c>
      <c r="I184" s="8">
        <v>48.0</v>
      </c>
      <c r="J184" s="8">
        <v>151.95</v>
      </c>
      <c r="K184" s="8">
        <v>195.43</v>
      </c>
      <c r="L184" s="26">
        <f t="shared" si="1"/>
        <v>7293.6</v>
      </c>
    </row>
    <row r="185">
      <c r="B185" s="6" t="s">
        <v>221</v>
      </c>
      <c r="C185" s="6" t="s">
        <v>14</v>
      </c>
      <c r="D185" s="6" t="s">
        <v>63</v>
      </c>
      <c r="E185" s="6" t="s">
        <v>27</v>
      </c>
      <c r="F185" s="6" t="s">
        <v>17</v>
      </c>
      <c r="G185" s="6" t="s">
        <v>18</v>
      </c>
      <c r="H185" s="7">
        <v>45106.0</v>
      </c>
      <c r="I185" s="8">
        <v>280.0</v>
      </c>
      <c r="J185" s="8">
        <v>326.29</v>
      </c>
      <c r="K185" s="8">
        <v>368.28</v>
      </c>
      <c r="L185" s="26">
        <f t="shared" si="1"/>
        <v>91361.2</v>
      </c>
    </row>
    <row r="186">
      <c r="B186" s="6" t="s">
        <v>222</v>
      </c>
      <c r="C186" s="6" t="s">
        <v>26</v>
      </c>
      <c r="D186" s="6" t="s">
        <v>39</v>
      </c>
      <c r="E186" s="6" t="s">
        <v>27</v>
      </c>
      <c r="F186" s="6" t="s">
        <v>17</v>
      </c>
      <c r="G186" s="6" t="s">
        <v>23</v>
      </c>
      <c r="H186" s="7">
        <v>45107.0</v>
      </c>
      <c r="I186" s="8">
        <v>384.0</v>
      </c>
      <c r="J186" s="8">
        <v>167.55</v>
      </c>
      <c r="K186" s="8">
        <v>209.27</v>
      </c>
      <c r="L186" s="26">
        <f t="shared" si="1"/>
        <v>64339.2</v>
      </c>
    </row>
    <row r="187">
      <c r="B187" s="6" t="s">
        <v>223</v>
      </c>
      <c r="C187" s="6" t="s">
        <v>14</v>
      </c>
      <c r="D187" s="6" t="s">
        <v>15</v>
      </c>
      <c r="E187" s="6" t="s">
        <v>55</v>
      </c>
      <c r="F187" s="6" t="s">
        <v>17</v>
      </c>
      <c r="G187" s="6" t="s">
        <v>33</v>
      </c>
      <c r="H187" s="7">
        <v>45108.0</v>
      </c>
      <c r="I187" s="8">
        <v>294.0</v>
      </c>
      <c r="J187" s="8">
        <v>316.95</v>
      </c>
      <c r="K187" s="8">
        <v>247.37</v>
      </c>
      <c r="L187" s="26">
        <f t="shared" si="1"/>
        <v>93183.3</v>
      </c>
    </row>
    <row r="188">
      <c r="B188" s="6" t="s">
        <v>224</v>
      </c>
      <c r="C188" s="6" t="s">
        <v>61</v>
      </c>
      <c r="D188" s="6" t="s">
        <v>31</v>
      </c>
      <c r="E188" s="6" t="s">
        <v>27</v>
      </c>
      <c r="F188" s="6" t="s">
        <v>17</v>
      </c>
      <c r="G188" s="6" t="s">
        <v>18</v>
      </c>
      <c r="H188" s="7">
        <v>45109.0</v>
      </c>
      <c r="I188" s="8">
        <v>166.0</v>
      </c>
      <c r="J188" s="8">
        <v>306.87</v>
      </c>
      <c r="K188" s="8">
        <v>64.34</v>
      </c>
      <c r="L188" s="26">
        <f t="shared" si="1"/>
        <v>50940.42</v>
      </c>
    </row>
    <row r="189">
      <c r="B189" s="6" t="s">
        <v>225</v>
      </c>
      <c r="C189" s="6" t="s">
        <v>14</v>
      </c>
      <c r="D189" s="6" t="s">
        <v>39</v>
      </c>
      <c r="E189" s="6" t="s">
        <v>22</v>
      </c>
      <c r="F189" s="6" t="s">
        <v>17</v>
      </c>
      <c r="G189" s="6" t="s">
        <v>33</v>
      </c>
      <c r="H189" s="7">
        <v>45110.0</v>
      </c>
      <c r="I189" s="8">
        <v>84.0</v>
      </c>
      <c r="J189" s="8">
        <v>283.9</v>
      </c>
      <c r="K189" s="8">
        <v>19.41</v>
      </c>
      <c r="L189" s="26">
        <f t="shared" si="1"/>
        <v>23847.6</v>
      </c>
    </row>
    <row r="190">
      <c r="B190" s="6" t="s">
        <v>226</v>
      </c>
      <c r="C190" s="6" t="s">
        <v>26</v>
      </c>
      <c r="D190" s="6" t="s">
        <v>63</v>
      </c>
      <c r="E190" s="6" t="s">
        <v>22</v>
      </c>
      <c r="F190" s="6" t="s">
        <v>17</v>
      </c>
      <c r="G190" s="6" t="s">
        <v>33</v>
      </c>
      <c r="H190" s="7">
        <v>45111.0</v>
      </c>
      <c r="I190" s="8">
        <v>381.0</v>
      </c>
      <c r="J190" s="8">
        <v>193.31</v>
      </c>
      <c r="K190" s="8">
        <v>46.1</v>
      </c>
      <c r="L190" s="26">
        <f t="shared" si="1"/>
        <v>73651.11</v>
      </c>
    </row>
    <row r="191">
      <c r="B191" s="6" t="s">
        <v>227</v>
      </c>
      <c r="C191" s="6" t="s">
        <v>26</v>
      </c>
      <c r="D191" s="6" t="s">
        <v>21</v>
      </c>
      <c r="E191" s="6" t="s">
        <v>55</v>
      </c>
      <c r="F191" s="6" t="s">
        <v>28</v>
      </c>
      <c r="G191" s="6" t="s">
        <v>23</v>
      </c>
      <c r="H191" s="7">
        <v>45112.0</v>
      </c>
      <c r="I191" s="8">
        <v>297.0</v>
      </c>
      <c r="J191" s="8">
        <v>276.51</v>
      </c>
      <c r="K191" s="8">
        <v>240.22</v>
      </c>
      <c r="L191" s="26">
        <f t="shared" si="1"/>
        <v>82123.47</v>
      </c>
    </row>
    <row r="192">
      <c r="B192" s="6" t="s">
        <v>228</v>
      </c>
      <c r="C192" s="6" t="s">
        <v>61</v>
      </c>
      <c r="D192" s="6" t="s">
        <v>63</v>
      </c>
      <c r="E192" s="6" t="s">
        <v>27</v>
      </c>
      <c r="F192" s="6" t="s">
        <v>28</v>
      </c>
      <c r="G192" s="6" t="s">
        <v>33</v>
      </c>
      <c r="H192" s="7">
        <v>45113.0</v>
      </c>
      <c r="I192" s="8">
        <v>139.0</v>
      </c>
      <c r="J192" s="8">
        <v>300.26</v>
      </c>
      <c r="K192" s="8">
        <v>39.81</v>
      </c>
      <c r="L192" s="26">
        <f t="shared" si="1"/>
        <v>41736.14</v>
      </c>
    </row>
    <row r="193">
      <c r="B193" s="6" t="s">
        <v>229</v>
      </c>
      <c r="C193" s="6" t="s">
        <v>14</v>
      </c>
      <c r="D193" s="6" t="s">
        <v>15</v>
      </c>
      <c r="E193" s="6" t="s">
        <v>27</v>
      </c>
      <c r="F193" s="6" t="s">
        <v>17</v>
      </c>
      <c r="G193" s="6" t="s">
        <v>23</v>
      </c>
      <c r="H193" s="7">
        <v>45114.0</v>
      </c>
      <c r="I193" s="8">
        <v>184.0</v>
      </c>
      <c r="J193" s="8">
        <v>275.12</v>
      </c>
      <c r="K193" s="8">
        <v>151.65</v>
      </c>
      <c r="L193" s="26">
        <f t="shared" si="1"/>
        <v>50622.08</v>
      </c>
    </row>
    <row r="194">
      <c r="B194" s="6" t="s">
        <v>230</v>
      </c>
      <c r="C194" s="6" t="s">
        <v>14</v>
      </c>
      <c r="D194" s="6" t="s">
        <v>63</v>
      </c>
      <c r="E194" s="6" t="s">
        <v>27</v>
      </c>
      <c r="F194" s="6" t="s">
        <v>17</v>
      </c>
      <c r="G194" s="6" t="s">
        <v>18</v>
      </c>
      <c r="H194" s="7">
        <v>45115.0</v>
      </c>
      <c r="I194" s="8">
        <v>471.0</v>
      </c>
      <c r="J194" s="8">
        <v>224.99</v>
      </c>
      <c r="K194" s="8">
        <v>220.94</v>
      </c>
      <c r="L194" s="26">
        <f t="shared" si="1"/>
        <v>105970.29</v>
      </c>
    </row>
    <row r="195">
      <c r="B195" s="6" t="s">
        <v>231</v>
      </c>
      <c r="C195" s="6" t="s">
        <v>61</v>
      </c>
      <c r="D195" s="6" t="s">
        <v>21</v>
      </c>
      <c r="E195" s="6" t="s">
        <v>16</v>
      </c>
      <c r="F195" s="6" t="s">
        <v>28</v>
      </c>
      <c r="G195" s="6" t="s">
        <v>23</v>
      </c>
      <c r="H195" s="7">
        <v>45116.0</v>
      </c>
      <c r="I195" s="8">
        <v>93.0</v>
      </c>
      <c r="J195" s="8">
        <v>12.26</v>
      </c>
      <c r="K195" s="8">
        <v>156.68</v>
      </c>
      <c r="L195" s="26">
        <f t="shared" si="1"/>
        <v>1140.18</v>
      </c>
    </row>
    <row r="196">
      <c r="B196" s="6" t="s">
        <v>232</v>
      </c>
      <c r="C196" s="6" t="s">
        <v>14</v>
      </c>
      <c r="D196" s="6" t="s">
        <v>15</v>
      </c>
      <c r="E196" s="6" t="s">
        <v>32</v>
      </c>
      <c r="F196" s="6" t="s">
        <v>17</v>
      </c>
      <c r="G196" s="6" t="s">
        <v>18</v>
      </c>
      <c r="H196" s="7">
        <v>45117.0</v>
      </c>
      <c r="I196" s="8">
        <v>31.0</v>
      </c>
      <c r="J196" s="8">
        <v>295.6</v>
      </c>
      <c r="K196" s="8">
        <v>67.15</v>
      </c>
      <c r="L196" s="26">
        <f t="shared" si="1"/>
        <v>9163.6</v>
      </c>
    </row>
    <row r="197">
      <c r="B197" s="6" t="s">
        <v>233</v>
      </c>
      <c r="C197" s="6" t="s">
        <v>14</v>
      </c>
      <c r="D197" s="6" t="s">
        <v>63</v>
      </c>
      <c r="E197" s="6" t="s">
        <v>16</v>
      </c>
      <c r="F197" s="6" t="s">
        <v>17</v>
      </c>
      <c r="G197" s="6" t="s">
        <v>23</v>
      </c>
      <c r="H197" s="7">
        <v>45118.0</v>
      </c>
      <c r="I197" s="8">
        <v>468.0</v>
      </c>
      <c r="J197" s="8">
        <v>88.38</v>
      </c>
      <c r="K197" s="8">
        <v>110.97</v>
      </c>
      <c r="L197" s="26">
        <f t="shared" si="1"/>
        <v>41361.84</v>
      </c>
    </row>
    <row r="198">
      <c r="B198" s="6" t="s">
        <v>234</v>
      </c>
      <c r="C198" s="6" t="s">
        <v>26</v>
      </c>
      <c r="D198" s="6" t="s">
        <v>15</v>
      </c>
      <c r="E198" s="6" t="s">
        <v>32</v>
      </c>
      <c r="F198" s="6" t="s">
        <v>17</v>
      </c>
      <c r="G198" s="6" t="s">
        <v>33</v>
      </c>
      <c r="H198" s="7">
        <v>45119.0</v>
      </c>
      <c r="I198" s="8">
        <v>36.0</v>
      </c>
      <c r="J198" s="8">
        <v>323.08</v>
      </c>
      <c r="K198" s="8">
        <v>371.47</v>
      </c>
      <c r="L198" s="26">
        <f t="shared" si="1"/>
        <v>11630.88</v>
      </c>
    </row>
    <row r="199">
      <c r="B199" s="6" t="s">
        <v>235</v>
      </c>
      <c r="C199" s="6" t="s">
        <v>14</v>
      </c>
      <c r="D199" s="6" t="s">
        <v>31</v>
      </c>
      <c r="E199" s="6" t="s">
        <v>27</v>
      </c>
      <c r="F199" s="6" t="s">
        <v>28</v>
      </c>
      <c r="G199" s="6" t="s">
        <v>23</v>
      </c>
      <c r="H199" s="7">
        <v>45120.0</v>
      </c>
      <c r="I199" s="8">
        <v>204.0</v>
      </c>
      <c r="J199" s="8">
        <v>380.88</v>
      </c>
      <c r="K199" s="8">
        <v>271.04</v>
      </c>
      <c r="L199" s="26">
        <f t="shared" si="1"/>
        <v>77699.52</v>
      </c>
    </row>
    <row r="200">
      <c r="B200" s="6" t="s">
        <v>236</v>
      </c>
      <c r="C200" s="6" t="s">
        <v>14</v>
      </c>
      <c r="D200" s="6" t="s">
        <v>31</v>
      </c>
      <c r="E200" s="6" t="s">
        <v>27</v>
      </c>
      <c r="F200" s="6" t="s">
        <v>17</v>
      </c>
      <c r="G200" s="6" t="s">
        <v>23</v>
      </c>
      <c r="H200" s="7">
        <v>45121.0</v>
      </c>
      <c r="I200" s="8">
        <v>346.0</v>
      </c>
      <c r="J200" s="8">
        <v>252.72</v>
      </c>
      <c r="K200" s="8">
        <v>199.43</v>
      </c>
      <c r="L200" s="26">
        <f t="shared" si="1"/>
        <v>87441.12</v>
      </c>
    </row>
    <row r="201">
      <c r="B201" s="6" t="s">
        <v>237</v>
      </c>
      <c r="C201" s="6" t="s">
        <v>61</v>
      </c>
      <c r="D201" s="6" t="s">
        <v>63</v>
      </c>
      <c r="E201" s="6" t="s">
        <v>16</v>
      </c>
      <c r="F201" s="6" t="s">
        <v>28</v>
      </c>
      <c r="G201" s="6" t="s">
        <v>18</v>
      </c>
      <c r="H201" s="7">
        <v>45122.0</v>
      </c>
      <c r="I201" s="8">
        <v>391.0</v>
      </c>
      <c r="J201" s="8">
        <v>273.47</v>
      </c>
      <c r="K201" s="8">
        <v>7.06</v>
      </c>
      <c r="L201" s="26">
        <f t="shared" si="1"/>
        <v>106926.77</v>
      </c>
    </row>
    <row r="202">
      <c r="B202" s="6" t="s">
        <v>238</v>
      </c>
      <c r="C202" s="6" t="s">
        <v>61</v>
      </c>
      <c r="D202" s="6" t="s">
        <v>15</v>
      </c>
      <c r="E202" s="6" t="s">
        <v>16</v>
      </c>
      <c r="F202" s="6" t="s">
        <v>17</v>
      </c>
      <c r="G202" s="6" t="s">
        <v>33</v>
      </c>
      <c r="H202" s="7">
        <v>45123.0</v>
      </c>
      <c r="I202" s="8">
        <v>245.0</v>
      </c>
      <c r="J202" s="8">
        <v>475.98</v>
      </c>
      <c r="K202" s="8">
        <v>396.98</v>
      </c>
      <c r="L202" s="26">
        <f t="shared" si="1"/>
        <v>116615.1</v>
      </c>
    </row>
    <row r="203">
      <c r="B203" s="6" t="s">
        <v>239</v>
      </c>
      <c r="C203" s="6" t="s">
        <v>20</v>
      </c>
      <c r="D203" s="6" t="s">
        <v>21</v>
      </c>
      <c r="E203" s="6" t="s">
        <v>32</v>
      </c>
      <c r="F203" s="6" t="s">
        <v>28</v>
      </c>
      <c r="G203" s="6" t="s">
        <v>23</v>
      </c>
      <c r="H203" s="7">
        <v>45124.0</v>
      </c>
      <c r="I203" s="8">
        <v>449.0</v>
      </c>
      <c r="J203" s="8">
        <v>424.35</v>
      </c>
      <c r="K203" s="8">
        <v>269.24</v>
      </c>
      <c r="L203" s="26">
        <f t="shared" si="1"/>
        <v>190533.15</v>
      </c>
    </row>
    <row r="204">
      <c r="B204" s="6" t="s">
        <v>240</v>
      </c>
      <c r="C204" s="6" t="s">
        <v>26</v>
      </c>
      <c r="D204" s="6" t="s">
        <v>63</v>
      </c>
      <c r="E204" s="6" t="s">
        <v>22</v>
      </c>
      <c r="F204" s="6" t="s">
        <v>28</v>
      </c>
      <c r="G204" s="6" t="s">
        <v>33</v>
      </c>
      <c r="H204" s="7">
        <v>45125.0</v>
      </c>
      <c r="I204" s="8">
        <v>101.0</v>
      </c>
      <c r="J204" s="8">
        <v>457.55</v>
      </c>
      <c r="K204" s="8">
        <v>128.14</v>
      </c>
      <c r="L204" s="26">
        <f t="shared" si="1"/>
        <v>46212.55</v>
      </c>
    </row>
    <row r="205">
      <c r="B205" s="6" t="s">
        <v>241</v>
      </c>
      <c r="C205" s="6" t="s">
        <v>14</v>
      </c>
      <c r="D205" s="6" t="s">
        <v>31</v>
      </c>
      <c r="E205" s="6" t="s">
        <v>32</v>
      </c>
      <c r="F205" s="6" t="s">
        <v>17</v>
      </c>
      <c r="G205" s="6" t="s">
        <v>23</v>
      </c>
      <c r="H205" s="7">
        <v>45126.0</v>
      </c>
      <c r="I205" s="6"/>
      <c r="J205" s="8">
        <v>407.81</v>
      </c>
      <c r="K205" s="8">
        <v>351.95</v>
      </c>
      <c r="L205" s="26">
        <f t="shared" si="1"/>
        <v>0</v>
      </c>
    </row>
    <row r="206">
      <c r="B206" s="6" t="s">
        <v>242</v>
      </c>
      <c r="C206" s="6" t="s">
        <v>14</v>
      </c>
      <c r="D206" s="6" t="s">
        <v>31</v>
      </c>
      <c r="E206" s="6" t="s">
        <v>16</v>
      </c>
      <c r="F206" s="6" t="s">
        <v>28</v>
      </c>
      <c r="G206" s="6" t="s">
        <v>23</v>
      </c>
      <c r="H206" s="7">
        <v>45127.0</v>
      </c>
      <c r="I206" s="8">
        <v>30.0</v>
      </c>
      <c r="J206" s="8">
        <v>58.91</v>
      </c>
      <c r="K206" s="8">
        <v>104.86</v>
      </c>
      <c r="L206" s="26">
        <f t="shared" si="1"/>
        <v>1767.3</v>
      </c>
    </row>
    <row r="207">
      <c r="B207" s="6" t="s">
        <v>243</v>
      </c>
      <c r="C207" s="6" t="s">
        <v>20</v>
      </c>
      <c r="D207" s="6" t="s">
        <v>63</v>
      </c>
      <c r="E207" s="6" t="s">
        <v>16</v>
      </c>
      <c r="F207" s="6" t="s">
        <v>17</v>
      </c>
      <c r="G207" s="6" t="s">
        <v>33</v>
      </c>
      <c r="H207" s="7">
        <v>45128.0</v>
      </c>
      <c r="I207" s="8">
        <v>312.0</v>
      </c>
      <c r="J207" s="8">
        <v>78.75</v>
      </c>
      <c r="K207" s="8">
        <v>218.52</v>
      </c>
      <c r="L207" s="26">
        <f t="shared" si="1"/>
        <v>24570</v>
      </c>
    </row>
    <row r="208">
      <c r="B208" s="6" t="s">
        <v>244</v>
      </c>
      <c r="C208" s="6" t="s">
        <v>14</v>
      </c>
      <c r="D208" s="6" t="s">
        <v>15</v>
      </c>
      <c r="E208" s="6" t="s">
        <v>55</v>
      </c>
      <c r="F208" s="6" t="s">
        <v>28</v>
      </c>
      <c r="G208" s="6" t="s">
        <v>23</v>
      </c>
      <c r="H208" s="7">
        <v>45129.0</v>
      </c>
      <c r="I208" s="8">
        <v>473.0</v>
      </c>
      <c r="J208" s="8">
        <v>265.68</v>
      </c>
      <c r="K208" s="8">
        <v>255.16</v>
      </c>
      <c r="L208" s="26">
        <f t="shared" si="1"/>
        <v>125666.64</v>
      </c>
    </row>
    <row r="209">
      <c r="B209" s="6" t="s">
        <v>245</v>
      </c>
      <c r="C209" s="6" t="s">
        <v>26</v>
      </c>
      <c r="D209" s="6" t="s">
        <v>31</v>
      </c>
      <c r="E209" s="6" t="s">
        <v>16</v>
      </c>
      <c r="F209" s="6" t="s">
        <v>17</v>
      </c>
      <c r="G209" s="6" t="s">
        <v>33</v>
      </c>
      <c r="H209" s="7">
        <v>45130.0</v>
      </c>
      <c r="I209" s="8">
        <v>366.0</v>
      </c>
      <c r="J209" s="8">
        <v>126.8</v>
      </c>
      <c r="K209" s="8">
        <v>89.98</v>
      </c>
      <c r="L209" s="26">
        <f t="shared" si="1"/>
        <v>46408.8</v>
      </c>
    </row>
    <row r="210">
      <c r="B210" s="6" t="s">
        <v>246</v>
      </c>
      <c r="C210" s="6" t="s">
        <v>20</v>
      </c>
      <c r="D210" s="6" t="s">
        <v>15</v>
      </c>
      <c r="E210" s="6" t="s">
        <v>55</v>
      </c>
      <c r="F210" s="6" t="s">
        <v>17</v>
      </c>
      <c r="G210" s="6" t="s">
        <v>23</v>
      </c>
      <c r="H210" s="7">
        <v>45131.0</v>
      </c>
      <c r="I210" s="8">
        <v>452.0</v>
      </c>
      <c r="J210" s="8">
        <v>240.96</v>
      </c>
      <c r="K210" s="8">
        <v>391.4</v>
      </c>
      <c r="L210" s="26">
        <f t="shared" si="1"/>
        <v>108913.92</v>
      </c>
    </row>
    <row r="211">
      <c r="B211" s="6" t="s">
        <v>247</v>
      </c>
      <c r="C211" s="6" t="s">
        <v>26</v>
      </c>
      <c r="D211" s="6" t="s">
        <v>31</v>
      </c>
      <c r="E211" s="6" t="s">
        <v>22</v>
      </c>
      <c r="F211" s="6" t="s">
        <v>28</v>
      </c>
      <c r="G211" s="6" t="s">
        <v>18</v>
      </c>
      <c r="H211" s="7">
        <v>45132.0</v>
      </c>
      <c r="I211" s="8">
        <v>93.0</v>
      </c>
      <c r="J211" s="8">
        <v>200.21</v>
      </c>
      <c r="K211" s="8">
        <v>299.78</v>
      </c>
      <c r="L211" s="26">
        <f t="shared" si="1"/>
        <v>18619.53</v>
      </c>
    </row>
    <row r="212">
      <c r="B212" s="6" t="s">
        <v>248</v>
      </c>
      <c r="C212" s="6" t="s">
        <v>20</v>
      </c>
      <c r="D212" s="6" t="s">
        <v>31</v>
      </c>
      <c r="E212" s="6" t="s">
        <v>32</v>
      </c>
      <c r="F212" s="6" t="s">
        <v>17</v>
      </c>
      <c r="G212" s="6" t="s">
        <v>33</v>
      </c>
      <c r="H212" s="7">
        <v>45133.0</v>
      </c>
      <c r="I212" s="8">
        <v>271.0</v>
      </c>
      <c r="J212" s="8">
        <v>276.96</v>
      </c>
      <c r="K212" s="8">
        <v>224.01</v>
      </c>
      <c r="L212" s="26">
        <f t="shared" si="1"/>
        <v>75056.16</v>
      </c>
    </row>
    <row r="213">
      <c r="B213" s="6" t="s">
        <v>249</v>
      </c>
      <c r="C213" s="6" t="s">
        <v>20</v>
      </c>
      <c r="D213" s="6" t="s">
        <v>39</v>
      </c>
      <c r="E213" s="6" t="s">
        <v>32</v>
      </c>
      <c r="F213" s="6" t="s">
        <v>17</v>
      </c>
      <c r="G213" s="6" t="s">
        <v>23</v>
      </c>
      <c r="H213" s="7">
        <v>45134.0</v>
      </c>
      <c r="I213" s="8">
        <v>156.0</v>
      </c>
      <c r="J213" s="8">
        <v>374.7</v>
      </c>
      <c r="K213" s="8">
        <v>73.88</v>
      </c>
      <c r="L213" s="26">
        <f t="shared" si="1"/>
        <v>58453.2</v>
      </c>
    </row>
    <row r="214">
      <c r="B214" s="6" t="s">
        <v>250</v>
      </c>
      <c r="C214" s="6" t="s">
        <v>61</v>
      </c>
      <c r="D214" s="6" t="s">
        <v>31</v>
      </c>
      <c r="E214" s="6" t="s">
        <v>55</v>
      </c>
      <c r="F214" s="6" t="s">
        <v>28</v>
      </c>
      <c r="G214" s="6" t="s">
        <v>23</v>
      </c>
      <c r="H214" s="7">
        <v>45135.0</v>
      </c>
      <c r="I214" s="8">
        <v>450.0</v>
      </c>
      <c r="J214" s="8">
        <v>359.17</v>
      </c>
      <c r="K214" s="8">
        <v>23.44</v>
      </c>
      <c r="L214" s="26">
        <f t="shared" si="1"/>
        <v>161626.5</v>
      </c>
    </row>
    <row r="215">
      <c r="B215" s="6" t="s">
        <v>251</v>
      </c>
      <c r="C215" s="6" t="s">
        <v>26</v>
      </c>
      <c r="D215" s="6" t="s">
        <v>21</v>
      </c>
      <c r="E215" s="6" t="s">
        <v>32</v>
      </c>
      <c r="F215" s="6" t="s">
        <v>17</v>
      </c>
      <c r="G215" s="6" t="s">
        <v>18</v>
      </c>
      <c r="H215" s="7">
        <v>45136.0</v>
      </c>
      <c r="I215" s="8">
        <v>462.0</v>
      </c>
      <c r="J215" s="8">
        <v>263.01</v>
      </c>
      <c r="K215" s="8">
        <v>129.38</v>
      </c>
      <c r="L215" s="26">
        <f t="shared" si="1"/>
        <v>121510.62</v>
      </c>
    </row>
    <row r="216">
      <c r="B216" s="6" t="s">
        <v>252</v>
      </c>
      <c r="C216" s="6" t="s">
        <v>14</v>
      </c>
      <c r="D216" s="6" t="s">
        <v>63</v>
      </c>
      <c r="E216" s="6"/>
      <c r="F216" s="6" t="s">
        <v>17</v>
      </c>
      <c r="G216" s="6" t="s">
        <v>33</v>
      </c>
      <c r="H216" s="7">
        <v>45137.0</v>
      </c>
      <c r="I216" s="8">
        <v>396.0</v>
      </c>
      <c r="J216" s="8">
        <v>412.08</v>
      </c>
      <c r="K216" s="8">
        <v>301.77</v>
      </c>
      <c r="L216" s="26">
        <f t="shared" si="1"/>
        <v>163183.68</v>
      </c>
    </row>
    <row r="217">
      <c r="B217" s="6" t="s">
        <v>253</v>
      </c>
      <c r="C217" s="6" t="s">
        <v>14</v>
      </c>
      <c r="D217" s="6" t="s">
        <v>63</v>
      </c>
      <c r="E217" s="6" t="s">
        <v>27</v>
      </c>
      <c r="F217" s="6" t="s">
        <v>28</v>
      </c>
      <c r="G217" s="6" t="s">
        <v>23</v>
      </c>
      <c r="H217" s="7">
        <v>45138.0</v>
      </c>
      <c r="I217" s="8">
        <v>266.0</v>
      </c>
      <c r="J217" s="8">
        <v>218.28</v>
      </c>
      <c r="K217" s="8">
        <v>109.19</v>
      </c>
      <c r="L217" s="26">
        <f t="shared" si="1"/>
        <v>58062.48</v>
      </c>
    </row>
    <row r="218">
      <c r="B218" s="6" t="s">
        <v>254</v>
      </c>
      <c r="C218" s="6" t="s">
        <v>26</v>
      </c>
      <c r="D218" s="6" t="s">
        <v>15</v>
      </c>
      <c r="E218" s="6" t="s">
        <v>55</v>
      </c>
      <c r="F218" s="6" t="s">
        <v>28</v>
      </c>
      <c r="G218" s="6" t="s">
        <v>18</v>
      </c>
      <c r="H218" s="7">
        <v>45139.0</v>
      </c>
      <c r="I218" s="8">
        <v>67.0</v>
      </c>
      <c r="J218" s="8">
        <v>448.87</v>
      </c>
      <c r="K218" s="8">
        <v>216.74</v>
      </c>
      <c r="L218" s="26">
        <f t="shared" si="1"/>
        <v>30074.29</v>
      </c>
    </row>
    <row r="219">
      <c r="B219" s="6" t="s">
        <v>255</v>
      </c>
      <c r="C219" s="6" t="s">
        <v>14</v>
      </c>
      <c r="D219" s="6" t="s">
        <v>31</v>
      </c>
      <c r="E219" s="6" t="s">
        <v>32</v>
      </c>
      <c r="F219" s="6" t="s">
        <v>17</v>
      </c>
      <c r="G219" s="6" t="s">
        <v>23</v>
      </c>
      <c r="H219" s="7">
        <v>45140.0</v>
      </c>
      <c r="I219" s="8">
        <v>389.0</v>
      </c>
      <c r="J219" s="8">
        <v>40.28</v>
      </c>
      <c r="K219" s="8">
        <v>291.72</v>
      </c>
      <c r="L219" s="26">
        <f t="shared" si="1"/>
        <v>15668.92</v>
      </c>
    </row>
    <row r="220">
      <c r="B220" s="6" t="s">
        <v>256</v>
      </c>
      <c r="C220" s="6" t="s">
        <v>14</v>
      </c>
      <c r="D220" s="6" t="s">
        <v>21</v>
      </c>
      <c r="E220" s="6" t="s">
        <v>55</v>
      </c>
      <c r="F220" s="6" t="s">
        <v>17</v>
      </c>
      <c r="G220" s="6" t="s">
        <v>33</v>
      </c>
      <c r="H220" s="7">
        <v>45141.0</v>
      </c>
      <c r="I220" s="8">
        <v>431.0</v>
      </c>
      <c r="J220" s="8">
        <v>477.56</v>
      </c>
      <c r="K220" s="8">
        <v>44.96</v>
      </c>
      <c r="L220" s="26">
        <f t="shared" si="1"/>
        <v>205828.36</v>
      </c>
    </row>
    <row r="221">
      <c r="B221" s="6" t="s">
        <v>257</v>
      </c>
      <c r="C221" s="6" t="s">
        <v>26</v>
      </c>
      <c r="D221" s="6" t="s">
        <v>15</v>
      </c>
      <c r="E221" s="6" t="s">
        <v>55</v>
      </c>
      <c r="F221" s="6" t="s">
        <v>28</v>
      </c>
      <c r="G221" s="6" t="s">
        <v>23</v>
      </c>
      <c r="H221" s="7">
        <v>45142.0</v>
      </c>
      <c r="I221" s="8">
        <v>24.0</v>
      </c>
      <c r="J221" s="8">
        <v>329.07</v>
      </c>
      <c r="K221" s="8">
        <v>274.75</v>
      </c>
      <c r="L221" s="26">
        <f t="shared" si="1"/>
        <v>7897.68</v>
      </c>
    </row>
    <row r="222">
      <c r="B222" s="6" t="s">
        <v>258</v>
      </c>
      <c r="C222" s="6" t="s">
        <v>20</v>
      </c>
      <c r="D222" s="6" t="s">
        <v>39</v>
      </c>
      <c r="E222" s="6" t="s">
        <v>27</v>
      </c>
      <c r="F222" s="6" t="s">
        <v>28</v>
      </c>
      <c r="G222" s="6" t="s">
        <v>23</v>
      </c>
      <c r="H222" s="7">
        <v>45143.0</v>
      </c>
      <c r="I222" s="8">
        <v>171.0</v>
      </c>
      <c r="J222" s="8">
        <v>193.14</v>
      </c>
      <c r="K222" s="8">
        <v>38.56</v>
      </c>
      <c r="L222" s="26">
        <f t="shared" si="1"/>
        <v>33026.94</v>
      </c>
    </row>
    <row r="223">
      <c r="B223" s="6" t="s">
        <v>259</v>
      </c>
      <c r="C223" s="6" t="s">
        <v>26</v>
      </c>
      <c r="D223" s="6" t="s">
        <v>15</v>
      </c>
      <c r="E223" s="6" t="s">
        <v>16</v>
      </c>
      <c r="F223" s="6" t="s">
        <v>17</v>
      </c>
      <c r="G223" s="6" t="s">
        <v>23</v>
      </c>
      <c r="H223" s="7">
        <v>45144.0</v>
      </c>
      <c r="I223" s="8">
        <v>454.0</v>
      </c>
      <c r="J223" s="8">
        <v>102.59</v>
      </c>
      <c r="K223" s="8">
        <v>386.12</v>
      </c>
      <c r="L223" s="26">
        <f t="shared" si="1"/>
        <v>46575.86</v>
      </c>
    </row>
    <row r="224">
      <c r="B224" s="6" t="s">
        <v>260</v>
      </c>
      <c r="C224" s="6" t="s">
        <v>20</v>
      </c>
      <c r="D224" s="6" t="s">
        <v>15</v>
      </c>
      <c r="E224" s="6" t="s">
        <v>55</v>
      </c>
      <c r="F224" s="6" t="s">
        <v>28</v>
      </c>
      <c r="G224" s="6" t="s">
        <v>23</v>
      </c>
      <c r="H224" s="7">
        <v>45145.0</v>
      </c>
      <c r="I224" s="8">
        <v>172.0</v>
      </c>
      <c r="J224" s="8">
        <v>242.2</v>
      </c>
      <c r="K224" s="8">
        <v>196.38</v>
      </c>
      <c r="L224" s="26">
        <f t="shared" si="1"/>
        <v>41658.4</v>
      </c>
    </row>
    <row r="225">
      <c r="B225" s="6" t="s">
        <v>261</v>
      </c>
      <c r="C225" s="6" t="s">
        <v>14</v>
      </c>
      <c r="D225" s="6" t="s">
        <v>31</v>
      </c>
      <c r="E225" s="6" t="s">
        <v>32</v>
      </c>
      <c r="F225" s="6" t="s">
        <v>17</v>
      </c>
      <c r="G225" s="6" t="s">
        <v>18</v>
      </c>
      <c r="H225" s="7">
        <v>45146.0</v>
      </c>
      <c r="I225" s="8">
        <v>329.0</v>
      </c>
      <c r="J225" s="8">
        <v>101.31</v>
      </c>
      <c r="K225" s="8">
        <v>61.97</v>
      </c>
      <c r="L225" s="26">
        <f t="shared" si="1"/>
        <v>33330.99</v>
      </c>
    </row>
    <row r="226">
      <c r="B226" s="6" t="s">
        <v>262</v>
      </c>
      <c r="C226" s="6" t="s">
        <v>14</v>
      </c>
      <c r="D226" s="6" t="s">
        <v>39</v>
      </c>
      <c r="E226" s="6" t="s">
        <v>22</v>
      </c>
      <c r="F226" s="6" t="s">
        <v>17</v>
      </c>
      <c r="G226" s="6" t="s">
        <v>18</v>
      </c>
      <c r="H226" s="7">
        <v>45147.0</v>
      </c>
      <c r="I226" s="8">
        <v>290.0</v>
      </c>
      <c r="J226" s="8">
        <v>87.33</v>
      </c>
      <c r="K226" s="8">
        <v>138.27</v>
      </c>
      <c r="L226" s="26">
        <f t="shared" si="1"/>
        <v>25325.7</v>
      </c>
    </row>
    <row r="227">
      <c r="B227" s="6" t="s">
        <v>263</v>
      </c>
      <c r="C227" s="6"/>
      <c r="D227" s="6" t="s">
        <v>15</v>
      </c>
      <c r="E227" s="6" t="s">
        <v>55</v>
      </c>
      <c r="F227" s="6" t="s">
        <v>17</v>
      </c>
      <c r="G227" s="6" t="s">
        <v>33</v>
      </c>
      <c r="H227" s="7">
        <v>45148.0</v>
      </c>
      <c r="I227" s="8">
        <v>289.0</v>
      </c>
      <c r="J227" s="8">
        <v>310.59</v>
      </c>
      <c r="K227" s="8">
        <v>166.54</v>
      </c>
      <c r="L227" s="26">
        <f t="shared" si="1"/>
        <v>89760.51</v>
      </c>
    </row>
    <row r="228">
      <c r="B228" s="6" t="s">
        <v>264</v>
      </c>
      <c r="C228" s="6" t="s">
        <v>61</v>
      </c>
      <c r="D228" s="6" t="s">
        <v>21</v>
      </c>
      <c r="E228" s="6" t="s">
        <v>55</v>
      </c>
      <c r="F228" s="6" t="s">
        <v>17</v>
      </c>
      <c r="G228" s="6" t="s">
        <v>18</v>
      </c>
      <c r="H228" s="7">
        <v>45149.0</v>
      </c>
      <c r="I228" s="8">
        <v>21.0</v>
      </c>
      <c r="J228" s="8">
        <v>263.93</v>
      </c>
      <c r="K228" s="8">
        <v>303.76</v>
      </c>
      <c r="L228" s="26">
        <f t="shared" si="1"/>
        <v>5542.53</v>
      </c>
    </row>
    <row r="229">
      <c r="B229" s="6" t="s">
        <v>265</v>
      </c>
      <c r="C229" s="6" t="s">
        <v>20</v>
      </c>
      <c r="D229" s="6" t="s">
        <v>21</v>
      </c>
      <c r="E229" s="6" t="s">
        <v>27</v>
      </c>
      <c r="F229" s="6" t="s">
        <v>17</v>
      </c>
      <c r="G229" s="6" t="s">
        <v>18</v>
      </c>
      <c r="H229" s="7">
        <v>45150.0</v>
      </c>
      <c r="I229" s="8">
        <v>283.0</v>
      </c>
      <c r="J229" s="8">
        <v>336.7</v>
      </c>
      <c r="K229" s="8">
        <v>297.88</v>
      </c>
      <c r="L229" s="26">
        <f t="shared" si="1"/>
        <v>95286.1</v>
      </c>
    </row>
    <row r="230">
      <c r="B230" s="6" t="s">
        <v>266</v>
      </c>
      <c r="C230" s="6" t="s">
        <v>61</v>
      </c>
      <c r="D230" s="6" t="s">
        <v>63</v>
      </c>
      <c r="E230" s="6" t="s">
        <v>16</v>
      </c>
      <c r="F230" s="6" t="s">
        <v>28</v>
      </c>
      <c r="G230" s="6" t="s">
        <v>33</v>
      </c>
      <c r="H230" s="7">
        <v>45151.0</v>
      </c>
      <c r="I230" s="8">
        <v>280.0</v>
      </c>
      <c r="J230" s="8">
        <v>465.15</v>
      </c>
      <c r="K230" s="8">
        <v>245.55</v>
      </c>
      <c r="L230" s="26">
        <f t="shared" si="1"/>
        <v>130242</v>
      </c>
    </row>
    <row r="231">
      <c r="B231" s="6" t="s">
        <v>267</v>
      </c>
      <c r="C231" s="6" t="s">
        <v>61</v>
      </c>
      <c r="D231" s="6" t="s">
        <v>39</v>
      </c>
      <c r="E231" s="6" t="s">
        <v>22</v>
      </c>
      <c r="F231" s="6" t="s">
        <v>28</v>
      </c>
      <c r="G231" s="6" t="s">
        <v>18</v>
      </c>
      <c r="H231" s="7">
        <v>45152.0</v>
      </c>
      <c r="I231" s="8">
        <v>217.0</v>
      </c>
      <c r="J231" s="8">
        <v>268.47</v>
      </c>
      <c r="K231" s="8">
        <v>44.16</v>
      </c>
      <c r="L231" s="26">
        <f t="shared" si="1"/>
        <v>58257.99</v>
      </c>
    </row>
    <row r="232">
      <c r="B232" s="6" t="s">
        <v>268</v>
      </c>
      <c r="C232" s="6" t="s">
        <v>26</v>
      </c>
      <c r="D232" s="6" t="s">
        <v>39</v>
      </c>
      <c r="E232" s="6" t="s">
        <v>32</v>
      </c>
      <c r="F232" s="6" t="s">
        <v>28</v>
      </c>
      <c r="G232" s="6" t="s">
        <v>18</v>
      </c>
      <c r="H232" s="7">
        <v>45153.0</v>
      </c>
      <c r="I232" s="8">
        <v>36.0</v>
      </c>
      <c r="J232" s="8">
        <v>292.56</v>
      </c>
      <c r="K232" s="8">
        <v>62.32</v>
      </c>
      <c r="L232" s="26">
        <f t="shared" si="1"/>
        <v>10532.16</v>
      </c>
    </row>
    <row r="233">
      <c r="B233" s="6" t="s">
        <v>269</v>
      </c>
      <c r="C233" s="6" t="s">
        <v>61</v>
      </c>
      <c r="D233" s="6" t="s">
        <v>63</v>
      </c>
      <c r="E233" s="6" t="s">
        <v>22</v>
      </c>
      <c r="F233" s="6" t="s">
        <v>28</v>
      </c>
      <c r="G233" s="6" t="s">
        <v>33</v>
      </c>
      <c r="H233" s="7">
        <v>45154.0</v>
      </c>
      <c r="I233" s="6"/>
      <c r="J233" s="8">
        <v>49.37</v>
      </c>
      <c r="K233" s="8">
        <v>39.32</v>
      </c>
      <c r="L233" s="26">
        <f t="shared" si="1"/>
        <v>0</v>
      </c>
    </row>
    <row r="234">
      <c r="B234" s="6" t="s">
        <v>270</v>
      </c>
      <c r="C234" s="6" t="s">
        <v>26</v>
      </c>
      <c r="D234" s="6" t="s">
        <v>15</v>
      </c>
      <c r="E234" s="6" t="s">
        <v>32</v>
      </c>
      <c r="F234" s="6" t="s">
        <v>17</v>
      </c>
      <c r="G234" s="6" t="s">
        <v>33</v>
      </c>
      <c r="H234" s="7">
        <v>45155.0</v>
      </c>
      <c r="I234" s="8">
        <v>69.0</v>
      </c>
      <c r="J234" s="8">
        <v>360.23</v>
      </c>
      <c r="K234" s="8">
        <v>231.71</v>
      </c>
      <c r="L234" s="26">
        <f t="shared" si="1"/>
        <v>24855.87</v>
      </c>
    </row>
    <row r="235">
      <c r="B235" s="6" t="s">
        <v>271</v>
      </c>
      <c r="C235" s="6" t="s">
        <v>26</v>
      </c>
      <c r="D235" s="6" t="s">
        <v>39</v>
      </c>
      <c r="E235" s="6" t="s">
        <v>16</v>
      </c>
      <c r="F235" s="6" t="s">
        <v>17</v>
      </c>
      <c r="G235" s="6" t="s">
        <v>33</v>
      </c>
      <c r="H235" s="7">
        <v>45156.0</v>
      </c>
      <c r="I235" s="8">
        <v>439.0</v>
      </c>
      <c r="J235" s="8">
        <v>202.95</v>
      </c>
      <c r="K235" s="8">
        <v>351.1</v>
      </c>
      <c r="L235" s="26">
        <f t="shared" si="1"/>
        <v>89095.05</v>
      </c>
    </row>
    <row r="236">
      <c r="B236" s="6" t="s">
        <v>272</v>
      </c>
      <c r="C236" s="6" t="s">
        <v>61</v>
      </c>
      <c r="D236" s="6" t="s">
        <v>21</v>
      </c>
      <c r="E236" s="6" t="s">
        <v>32</v>
      </c>
      <c r="F236" s="6" t="s">
        <v>17</v>
      </c>
      <c r="G236" s="6" t="s">
        <v>23</v>
      </c>
      <c r="H236" s="7">
        <v>45157.0</v>
      </c>
      <c r="I236" s="8">
        <v>482.0</v>
      </c>
      <c r="J236" s="8">
        <v>488.48</v>
      </c>
      <c r="K236" s="8">
        <v>174.65</v>
      </c>
      <c r="L236" s="26">
        <f t="shared" si="1"/>
        <v>235447.36</v>
      </c>
    </row>
    <row r="237">
      <c r="B237" s="6" t="s">
        <v>273</v>
      </c>
      <c r="C237" s="6" t="s">
        <v>20</v>
      </c>
      <c r="D237" s="6" t="s">
        <v>21</v>
      </c>
      <c r="E237" s="6" t="s">
        <v>27</v>
      </c>
      <c r="F237" s="6" t="s">
        <v>17</v>
      </c>
      <c r="G237" s="6" t="s">
        <v>23</v>
      </c>
      <c r="H237" s="7">
        <v>45158.0</v>
      </c>
      <c r="I237" s="8">
        <v>154.0</v>
      </c>
      <c r="J237" s="8">
        <v>412.47</v>
      </c>
      <c r="K237" s="8">
        <v>66.02</v>
      </c>
      <c r="L237" s="26">
        <f t="shared" si="1"/>
        <v>63520.38</v>
      </c>
    </row>
    <row r="238">
      <c r="B238" s="6" t="s">
        <v>274</v>
      </c>
      <c r="C238" s="6" t="s">
        <v>20</v>
      </c>
      <c r="D238" s="6" t="s">
        <v>31</v>
      </c>
      <c r="E238" s="6" t="s">
        <v>27</v>
      </c>
      <c r="F238" s="6" t="s">
        <v>28</v>
      </c>
      <c r="G238" s="6" t="s">
        <v>33</v>
      </c>
      <c r="H238" s="7">
        <v>45159.0</v>
      </c>
      <c r="I238" s="8">
        <v>102.0</v>
      </c>
      <c r="J238" s="8">
        <v>263.63</v>
      </c>
      <c r="K238" s="8">
        <v>224.1</v>
      </c>
      <c r="L238" s="26">
        <f t="shared" si="1"/>
        <v>26890.26</v>
      </c>
    </row>
    <row r="239">
      <c r="B239" s="6" t="s">
        <v>275</v>
      </c>
      <c r="C239" s="6" t="s">
        <v>20</v>
      </c>
      <c r="D239" s="6" t="s">
        <v>39</v>
      </c>
      <c r="E239" s="6" t="s">
        <v>27</v>
      </c>
      <c r="F239" s="6" t="s">
        <v>17</v>
      </c>
      <c r="G239" s="6" t="s">
        <v>33</v>
      </c>
      <c r="H239" s="7">
        <v>45160.0</v>
      </c>
      <c r="I239" s="8">
        <v>318.0</v>
      </c>
      <c r="J239" s="8">
        <v>66.0</v>
      </c>
      <c r="K239" s="8">
        <v>325.08</v>
      </c>
      <c r="L239" s="26">
        <f t="shared" si="1"/>
        <v>20988</v>
      </c>
    </row>
    <row r="240">
      <c r="B240" s="6" t="s">
        <v>276</v>
      </c>
      <c r="C240" s="6" t="s">
        <v>20</v>
      </c>
      <c r="D240" s="6" t="s">
        <v>15</v>
      </c>
      <c r="E240" s="6" t="s">
        <v>27</v>
      </c>
      <c r="F240" s="6" t="s">
        <v>17</v>
      </c>
      <c r="G240" s="6" t="s">
        <v>33</v>
      </c>
      <c r="H240" s="7">
        <v>45161.0</v>
      </c>
      <c r="I240" s="8">
        <v>17.0</v>
      </c>
      <c r="J240" s="8">
        <v>430.41</v>
      </c>
      <c r="K240" s="8">
        <v>297.2</v>
      </c>
      <c r="L240" s="26">
        <f t="shared" si="1"/>
        <v>7316.97</v>
      </c>
    </row>
    <row r="241">
      <c r="B241" s="6" t="s">
        <v>277</v>
      </c>
      <c r="C241" s="6" t="s">
        <v>20</v>
      </c>
      <c r="D241" s="6" t="s">
        <v>63</v>
      </c>
      <c r="E241" s="6" t="s">
        <v>22</v>
      </c>
      <c r="F241" s="6" t="s">
        <v>28</v>
      </c>
      <c r="G241" s="6" t="s">
        <v>23</v>
      </c>
      <c r="H241" s="7">
        <v>45162.0</v>
      </c>
      <c r="I241" s="8">
        <v>88.0</v>
      </c>
      <c r="J241" s="8">
        <v>400.89</v>
      </c>
      <c r="K241" s="8">
        <v>352.82</v>
      </c>
      <c r="L241" s="26">
        <f t="shared" si="1"/>
        <v>35278.32</v>
      </c>
    </row>
    <row r="242">
      <c r="B242" s="6" t="s">
        <v>278</v>
      </c>
      <c r="C242" s="6" t="s">
        <v>61</v>
      </c>
      <c r="D242" s="6" t="s">
        <v>63</v>
      </c>
      <c r="E242" s="6" t="s">
        <v>16</v>
      </c>
      <c r="F242" s="6" t="s">
        <v>28</v>
      </c>
      <c r="G242" s="6" t="s">
        <v>23</v>
      </c>
      <c r="H242" s="7">
        <v>45163.0</v>
      </c>
      <c r="I242" s="8">
        <v>36.0</v>
      </c>
      <c r="J242" s="8">
        <v>96.37</v>
      </c>
      <c r="K242" s="8">
        <v>112.61</v>
      </c>
      <c r="L242" s="26">
        <f t="shared" si="1"/>
        <v>3469.32</v>
      </c>
    </row>
    <row r="243">
      <c r="B243" s="6" t="s">
        <v>279</v>
      </c>
      <c r="C243" s="6" t="s">
        <v>61</v>
      </c>
      <c r="D243" s="6" t="s">
        <v>15</v>
      </c>
      <c r="E243" s="6" t="s">
        <v>32</v>
      </c>
      <c r="F243" s="6" t="s">
        <v>28</v>
      </c>
      <c r="G243" s="6" t="s">
        <v>18</v>
      </c>
      <c r="H243" s="7">
        <v>45164.0</v>
      </c>
      <c r="I243" s="8">
        <v>183.0</v>
      </c>
      <c r="J243" s="8">
        <v>151.16</v>
      </c>
      <c r="K243" s="8">
        <v>79.19</v>
      </c>
      <c r="L243" s="26">
        <f t="shared" si="1"/>
        <v>27662.28</v>
      </c>
    </row>
    <row r="244">
      <c r="B244" s="6" t="s">
        <v>280</v>
      </c>
      <c r="C244" s="6" t="s">
        <v>14</v>
      </c>
      <c r="D244" s="6" t="s">
        <v>31</v>
      </c>
      <c r="E244" s="6" t="s">
        <v>32</v>
      </c>
      <c r="F244" s="6" t="s">
        <v>28</v>
      </c>
      <c r="G244" s="6" t="s">
        <v>18</v>
      </c>
      <c r="H244" s="7">
        <v>45165.0</v>
      </c>
      <c r="I244" s="8">
        <v>59.0</v>
      </c>
      <c r="J244" s="8">
        <v>397.74</v>
      </c>
      <c r="K244" s="8">
        <v>352.17</v>
      </c>
      <c r="L244" s="26">
        <f t="shared" si="1"/>
        <v>23466.66</v>
      </c>
    </row>
    <row r="245">
      <c r="B245" s="6" t="s">
        <v>281</v>
      </c>
      <c r="C245" s="6" t="s">
        <v>20</v>
      </c>
      <c r="D245" s="6" t="s">
        <v>63</v>
      </c>
      <c r="E245" s="6" t="s">
        <v>27</v>
      </c>
      <c r="F245" s="6" t="s">
        <v>17</v>
      </c>
      <c r="G245" s="6" t="s">
        <v>33</v>
      </c>
      <c r="H245" s="7">
        <v>45166.0</v>
      </c>
      <c r="I245" s="8">
        <v>208.0</v>
      </c>
      <c r="J245" s="8">
        <v>96.69</v>
      </c>
      <c r="K245" s="8">
        <v>263.71</v>
      </c>
      <c r="L245" s="26">
        <f t="shared" si="1"/>
        <v>20111.52</v>
      </c>
    </row>
    <row r="246">
      <c r="B246" s="6" t="s">
        <v>282</v>
      </c>
      <c r="C246" s="6" t="s">
        <v>61</v>
      </c>
      <c r="D246" s="6" t="s">
        <v>39</v>
      </c>
      <c r="E246" s="6" t="s">
        <v>27</v>
      </c>
      <c r="F246" s="6" t="s">
        <v>17</v>
      </c>
      <c r="G246" s="6" t="s">
        <v>23</v>
      </c>
      <c r="H246" s="7">
        <v>45167.0</v>
      </c>
      <c r="I246" s="8">
        <v>396.0</v>
      </c>
      <c r="J246" s="8">
        <v>459.29</v>
      </c>
      <c r="K246" s="8">
        <v>125.75</v>
      </c>
      <c r="L246" s="26">
        <f t="shared" si="1"/>
        <v>181878.84</v>
      </c>
    </row>
    <row r="247">
      <c r="B247" s="6" t="s">
        <v>283</v>
      </c>
      <c r="C247" s="6" t="s">
        <v>14</v>
      </c>
      <c r="D247" s="6" t="s">
        <v>31</v>
      </c>
      <c r="E247" s="6" t="s">
        <v>55</v>
      </c>
      <c r="F247" s="6" t="s">
        <v>28</v>
      </c>
      <c r="G247" s="6" t="s">
        <v>23</v>
      </c>
      <c r="H247" s="7">
        <v>45168.0</v>
      </c>
      <c r="I247" s="8">
        <v>358.0</v>
      </c>
      <c r="J247" s="8">
        <v>215.14</v>
      </c>
      <c r="K247" s="8">
        <v>297.45</v>
      </c>
      <c r="L247" s="26">
        <f t="shared" si="1"/>
        <v>77020.12</v>
      </c>
    </row>
    <row r="248">
      <c r="B248" s="6" t="s">
        <v>284</v>
      </c>
      <c r="C248" s="6" t="s">
        <v>20</v>
      </c>
      <c r="D248" s="6" t="s">
        <v>39</v>
      </c>
      <c r="E248" s="6" t="s">
        <v>16</v>
      </c>
      <c r="F248" s="6" t="s">
        <v>17</v>
      </c>
      <c r="G248" s="6" t="s">
        <v>23</v>
      </c>
      <c r="H248" s="7">
        <v>45169.0</v>
      </c>
      <c r="I248" s="8">
        <v>457.0</v>
      </c>
      <c r="J248" s="8">
        <v>48.08</v>
      </c>
      <c r="K248" s="8">
        <v>326.42</v>
      </c>
      <c r="L248" s="26">
        <f t="shared" si="1"/>
        <v>21972.56</v>
      </c>
    </row>
    <row r="249">
      <c r="B249" s="6" t="s">
        <v>285</v>
      </c>
      <c r="C249" s="6" t="s">
        <v>26</v>
      </c>
      <c r="D249" s="6" t="s">
        <v>21</v>
      </c>
      <c r="E249" s="6" t="s">
        <v>22</v>
      </c>
      <c r="F249" s="6" t="s">
        <v>17</v>
      </c>
      <c r="G249" s="6" t="s">
        <v>33</v>
      </c>
      <c r="H249" s="7">
        <v>45170.0</v>
      </c>
      <c r="I249" s="8">
        <v>437.0</v>
      </c>
      <c r="J249" s="8">
        <v>408.8</v>
      </c>
      <c r="K249" s="8">
        <v>246.76</v>
      </c>
      <c r="L249" s="26">
        <f t="shared" si="1"/>
        <v>178645.6</v>
      </c>
    </row>
    <row r="250">
      <c r="B250" s="6" t="s">
        <v>286</v>
      </c>
      <c r="C250" s="6" t="s">
        <v>14</v>
      </c>
      <c r="D250" s="6" t="s">
        <v>31</v>
      </c>
      <c r="E250" s="6" t="s">
        <v>32</v>
      </c>
      <c r="F250" s="6" t="s">
        <v>17</v>
      </c>
      <c r="G250" s="6" t="s">
        <v>18</v>
      </c>
      <c r="H250" s="7">
        <v>45171.0</v>
      </c>
      <c r="I250" s="8">
        <v>190.0</v>
      </c>
      <c r="J250" s="8">
        <v>189.89</v>
      </c>
      <c r="K250" s="8">
        <v>275.78</v>
      </c>
      <c r="L250" s="26">
        <f t="shared" si="1"/>
        <v>36079.1</v>
      </c>
    </row>
    <row r="251">
      <c r="B251" s="6" t="s">
        <v>287</v>
      </c>
      <c r="C251" s="6" t="s">
        <v>61</v>
      </c>
      <c r="D251" s="6" t="s">
        <v>63</v>
      </c>
      <c r="E251" s="6" t="s">
        <v>55</v>
      </c>
      <c r="F251" s="6" t="s">
        <v>28</v>
      </c>
      <c r="G251" s="6" t="s">
        <v>33</v>
      </c>
      <c r="H251" s="7">
        <v>45172.0</v>
      </c>
      <c r="I251" s="8">
        <v>33.0</v>
      </c>
      <c r="J251" s="8">
        <v>265.62</v>
      </c>
      <c r="K251" s="8">
        <v>151.35</v>
      </c>
      <c r="L251" s="26">
        <f t="shared" si="1"/>
        <v>8765.46</v>
      </c>
    </row>
    <row r="252">
      <c r="B252" s="6" t="s">
        <v>288</v>
      </c>
      <c r="C252" s="6" t="s">
        <v>26</v>
      </c>
      <c r="D252" s="6" t="s">
        <v>31</v>
      </c>
      <c r="E252" s="6" t="s">
        <v>55</v>
      </c>
      <c r="F252" s="6" t="s">
        <v>17</v>
      </c>
      <c r="G252" s="6" t="s">
        <v>18</v>
      </c>
      <c r="H252" s="7">
        <v>45173.0</v>
      </c>
      <c r="I252" s="8">
        <v>325.0</v>
      </c>
      <c r="J252" s="8">
        <v>60.59</v>
      </c>
      <c r="K252" s="8">
        <v>216.4</v>
      </c>
      <c r="L252" s="26">
        <f t="shared" si="1"/>
        <v>19691.75</v>
      </c>
    </row>
    <row r="253">
      <c r="B253" s="6" t="s">
        <v>289</v>
      </c>
      <c r="C253" s="6" t="s">
        <v>26</v>
      </c>
      <c r="D253" s="6" t="s">
        <v>31</v>
      </c>
      <c r="E253" s="6" t="s">
        <v>32</v>
      </c>
      <c r="F253" s="6" t="s">
        <v>28</v>
      </c>
      <c r="G253" s="6" t="s">
        <v>18</v>
      </c>
      <c r="H253" s="7">
        <v>45174.0</v>
      </c>
      <c r="I253" s="8">
        <v>387.0</v>
      </c>
      <c r="J253" s="8">
        <v>6.28</v>
      </c>
      <c r="K253" s="8">
        <v>210.62</v>
      </c>
      <c r="L253" s="26">
        <f t="shared" si="1"/>
        <v>2430.36</v>
      </c>
    </row>
    <row r="254">
      <c r="B254" s="6" t="s">
        <v>290</v>
      </c>
      <c r="C254" s="6" t="s">
        <v>26</v>
      </c>
      <c r="D254" s="6" t="s">
        <v>31</v>
      </c>
      <c r="E254" s="6" t="s">
        <v>22</v>
      </c>
      <c r="F254" s="6" t="s">
        <v>17</v>
      </c>
      <c r="G254" s="6" t="s">
        <v>33</v>
      </c>
      <c r="H254" s="7">
        <v>45175.0</v>
      </c>
      <c r="I254" s="8">
        <v>396.0</v>
      </c>
      <c r="J254" s="8">
        <v>320.8</v>
      </c>
      <c r="K254" s="8">
        <v>339.52</v>
      </c>
      <c r="L254" s="26">
        <f t="shared" si="1"/>
        <v>127036.8</v>
      </c>
    </row>
    <row r="255">
      <c r="B255" s="6" t="s">
        <v>291</v>
      </c>
      <c r="C255" s="6" t="s">
        <v>14</v>
      </c>
      <c r="D255" s="6" t="s">
        <v>31</v>
      </c>
      <c r="E255" s="6" t="s">
        <v>55</v>
      </c>
      <c r="F255" s="6" t="s">
        <v>17</v>
      </c>
      <c r="G255" s="6" t="s">
        <v>18</v>
      </c>
      <c r="H255" s="7">
        <v>45176.0</v>
      </c>
      <c r="I255" s="8">
        <v>413.0</v>
      </c>
      <c r="J255" s="8">
        <v>260.01</v>
      </c>
      <c r="K255" s="8">
        <v>336.31</v>
      </c>
      <c r="L255" s="26">
        <f t="shared" si="1"/>
        <v>107384.13</v>
      </c>
    </row>
    <row r="256">
      <c r="B256" s="6" t="s">
        <v>292</v>
      </c>
      <c r="C256" s="6" t="s">
        <v>61</v>
      </c>
      <c r="D256" s="6" t="s">
        <v>39</v>
      </c>
      <c r="E256" s="6" t="s">
        <v>55</v>
      </c>
      <c r="F256" s="6" t="s">
        <v>17</v>
      </c>
      <c r="G256" s="6" t="s">
        <v>18</v>
      </c>
      <c r="H256" s="7">
        <v>45177.0</v>
      </c>
      <c r="I256" s="6"/>
      <c r="J256" s="8">
        <v>298.8</v>
      </c>
      <c r="K256" s="8">
        <v>333.41</v>
      </c>
      <c r="L256" s="26">
        <f t="shared" si="1"/>
        <v>0</v>
      </c>
    </row>
    <row r="257">
      <c r="B257" s="6" t="s">
        <v>293</v>
      </c>
      <c r="C257" s="6" t="s">
        <v>26</v>
      </c>
      <c r="D257" s="6" t="s">
        <v>21</v>
      </c>
      <c r="E257" s="6" t="s">
        <v>16</v>
      </c>
      <c r="F257" s="6" t="s">
        <v>28</v>
      </c>
      <c r="G257" s="6" t="s">
        <v>23</v>
      </c>
      <c r="H257" s="7">
        <v>45178.0</v>
      </c>
      <c r="I257" s="8">
        <v>24.0</v>
      </c>
      <c r="J257" s="8">
        <v>397.9</v>
      </c>
      <c r="K257" s="8">
        <v>6.39</v>
      </c>
      <c r="L257" s="26">
        <f t="shared" si="1"/>
        <v>9549.6</v>
      </c>
    </row>
    <row r="258">
      <c r="B258" s="6" t="s">
        <v>294</v>
      </c>
      <c r="C258" s="6" t="s">
        <v>20</v>
      </c>
      <c r="D258" s="6" t="s">
        <v>15</v>
      </c>
      <c r="E258" s="6"/>
      <c r="F258" s="6" t="s">
        <v>17</v>
      </c>
      <c r="G258" s="6" t="s">
        <v>18</v>
      </c>
      <c r="H258" s="7">
        <v>45179.0</v>
      </c>
      <c r="I258" s="8">
        <v>162.0</v>
      </c>
      <c r="J258" s="8">
        <v>325.07</v>
      </c>
      <c r="K258" s="8">
        <v>300.32</v>
      </c>
      <c r="L258" s="26">
        <f t="shared" si="1"/>
        <v>52661.34</v>
      </c>
    </row>
    <row r="259">
      <c r="B259" s="6" t="s">
        <v>295</v>
      </c>
      <c r="C259" s="6" t="s">
        <v>26</v>
      </c>
      <c r="D259" s="6" t="s">
        <v>31</v>
      </c>
      <c r="E259" s="6" t="s">
        <v>55</v>
      </c>
      <c r="F259" s="6" t="s">
        <v>28</v>
      </c>
      <c r="G259" s="6" t="s">
        <v>33</v>
      </c>
      <c r="H259" s="7">
        <v>45180.0</v>
      </c>
      <c r="I259" s="8">
        <v>231.0</v>
      </c>
      <c r="J259" s="8">
        <v>91.51</v>
      </c>
      <c r="K259" s="8">
        <v>303.95</v>
      </c>
      <c r="L259" s="26">
        <f t="shared" si="1"/>
        <v>21138.81</v>
      </c>
    </row>
    <row r="260">
      <c r="B260" s="6" t="s">
        <v>296</v>
      </c>
      <c r="C260" s="6" t="s">
        <v>26</v>
      </c>
      <c r="D260" s="6" t="s">
        <v>63</v>
      </c>
      <c r="E260" s="6" t="s">
        <v>22</v>
      </c>
      <c r="F260" s="6" t="s">
        <v>28</v>
      </c>
      <c r="G260" s="6" t="s">
        <v>33</v>
      </c>
      <c r="H260" s="7">
        <v>45181.0</v>
      </c>
      <c r="I260" s="8">
        <v>215.0</v>
      </c>
      <c r="J260" s="8">
        <v>183.58</v>
      </c>
      <c r="K260" s="8">
        <v>271.99</v>
      </c>
      <c r="L260" s="26">
        <f t="shared" si="1"/>
        <v>39469.7</v>
      </c>
    </row>
    <row r="261">
      <c r="B261" s="6" t="s">
        <v>297</v>
      </c>
      <c r="C261" s="6" t="s">
        <v>14</v>
      </c>
      <c r="D261" s="6" t="s">
        <v>31</v>
      </c>
      <c r="E261" s="6" t="s">
        <v>32</v>
      </c>
      <c r="F261" s="6" t="s">
        <v>28</v>
      </c>
      <c r="G261" s="6" t="s">
        <v>18</v>
      </c>
      <c r="H261" s="7">
        <v>45182.0</v>
      </c>
      <c r="I261" s="8">
        <v>464.0</v>
      </c>
      <c r="J261" s="8">
        <v>453.42</v>
      </c>
      <c r="K261" s="8">
        <v>302.99</v>
      </c>
      <c r="L261" s="26">
        <f t="shared" si="1"/>
        <v>210386.88</v>
      </c>
    </row>
    <row r="262">
      <c r="B262" s="6" t="s">
        <v>298</v>
      </c>
      <c r="C262" s="6" t="s">
        <v>14</v>
      </c>
      <c r="D262" s="6" t="s">
        <v>63</v>
      </c>
      <c r="E262" s="6" t="s">
        <v>27</v>
      </c>
      <c r="F262" s="6" t="s">
        <v>17</v>
      </c>
      <c r="G262" s="6" t="s">
        <v>23</v>
      </c>
      <c r="H262" s="7">
        <v>45183.0</v>
      </c>
      <c r="I262" s="8">
        <v>282.0</v>
      </c>
      <c r="J262" s="6"/>
      <c r="K262" s="8">
        <v>337.1</v>
      </c>
      <c r="L262" s="26">
        <f t="shared" si="1"/>
        <v>0</v>
      </c>
    </row>
    <row r="263">
      <c r="B263" s="6" t="s">
        <v>299</v>
      </c>
      <c r="C263" s="6" t="s">
        <v>61</v>
      </c>
      <c r="D263" s="6" t="s">
        <v>39</v>
      </c>
      <c r="E263" s="6" t="s">
        <v>55</v>
      </c>
      <c r="F263" s="6" t="s">
        <v>17</v>
      </c>
      <c r="G263" s="6" t="s">
        <v>23</v>
      </c>
      <c r="H263" s="7">
        <v>45184.0</v>
      </c>
      <c r="I263" s="8">
        <v>391.0</v>
      </c>
      <c r="J263" s="8">
        <v>280.54</v>
      </c>
      <c r="K263" s="8">
        <v>189.19</v>
      </c>
      <c r="L263" s="26">
        <f t="shared" si="1"/>
        <v>109691.14</v>
      </c>
    </row>
    <row r="264">
      <c r="B264" s="6" t="s">
        <v>300</v>
      </c>
      <c r="C264" s="6" t="s">
        <v>20</v>
      </c>
      <c r="D264" s="6" t="s">
        <v>63</v>
      </c>
      <c r="E264" s="6" t="s">
        <v>16</v>
      </c>
      <c r="F264" s="6" t="s">
        <v>17</v>
      </c>
      <c r="G264" s="6" t="s">
        <v>18</v>
      </c>
      <c r="H264" s="7">
        <v>45185.0</v>
      </c>
      <c r="I264" s="8">
        <v>245.0</v>
      </c>
      <c r="J264" s="8">
        <v>131.54</v>
      </c>
      <c r="K264" s="8">
        <v>201.82</v>
      </c>
      <c r="L264" s="26">
        <f t="shared" si="1"/>
        <v>32227.3</v>
      </c>
    </row>
    <row r="265">
      <c r="B265" s="6" t="s">
        <v>301</v>
      </c>
      <c r="C265" s="6" t="s">
        <v>14</v>
      </c>
      <c r="D265" s="6" t="s">
        <v>15</v>
      </c>
      <c r="E265" s="6" t="s">
        <v>32</v>
      </c>
      <c r="F265" s="6" t="s">
        <v>17</v>
      </c>
      <c r="G265" s="6" t="s">
        <v>18</v>
      </c>
      <c r="H265" s="7">
        <v>45186.0</v>
      </c>
      <c r="I265" s="8">
        <v>349.0</v>
      </c>
      <c r="J265" s="8">
        <v>154.52</v>
      </c>
      <c r="K265" s="8">
        <v>51.64</v>
      </c>
      <c r="L265" s="26">
        <f t="shared" si="1"/>
        <v>53927.48</v>
      </c>
    </row>
    <row r="266">
      <c r="B266" s="6" t="s">
        <v>302</v>
      </c>
      <c r="C266" s="6" t="s">
        <v>26</v>
      </c>
      <c r="D266" s="6" t="s">
        <v>21</v>
      </c>
      <c r="E266" s="6" t="s">
        <v>22</v>
      </c>
      <c r="F266" s="6" t="s">
        <v>28</v>
      </c>
      <c r="G266" s="6" t="s">
        <v>33</v>
      </c>
      <c r="H266" s="7">
        <v>45187.0</v>
      </c>
      <c r="I266" s="8">
        <v>237.0</v>
      </c>
      <c r="J266" s="6"/>
      <c r="K266" s="8">
        <v>155.38</v>
      </c>
      <c r="L266" s="26">
        <f t="shared" si="1"/>
        <v>0</v>
      </c>
    </row>
    <row r="267">
      <c r="B267" s="6" t="s">
        <v>303</v>
      </c>
      <c r="C267" s="6" t="s">
        <v>61</v>
      </c>
      <c r="D267" s="6" t="s">
        <v>63</v>
      </c>
      <c r="E267" s="6" t="s">
        <v>32</v>
      </c>
      <c r="F267" s="6" t="s">
        <v>28</v>
      </c>
      <c r="G267" s="6" t="s">
        <v>18</v>
      </c>
      <c r="H267" s="7">
        <v>45188.0</v>
      </c>
      <c r="I267" s="8">
        <v>18.0</v>
      </c>
      <c r="J267" s="8">
        <v>426.33</v>
      </c>
      <c r="K267" s="8">
        <v>258.06</v>
      </c>
      <c r="L267" s="26">
        <f t="shared" si="1"/>
        <v>7673.94</v>
      </c>
    </row>
    <row r="268">
      <c r="B268" s="6" t="s">
        <v>304</v>
      </c>
      <c r="C268" s="6" t="s">
        <v>26</v>
      </c>
      <c r="D268" s="6" t="s">
        <v>63</v>
      </c>
      <c r="E268" s="6" t="s">
        <v>55</v>
      </c>
      <c r="F268" s="6" t="s">
        <v>28</v>
      </c>
      <c r="G268" s="6" t="s">
        <v>23</v>
      </c>
      <c r="H268" s="7">
        <v>45189.0</v>
      </c>
      <c r="I268" s="8">
        <v>175.0</v>
      </c>
      <c r="J268" s="8">
        <v>337.36</v>
      </c>
      <c r="K268" s="8">
        <v>312.6</v>
      </c>
      <c r="L268" s="26">
        <f t="shared" si="1"/>
        <v>59038</v>
      </c>
    </row>
    <row r="269">
      <c r="B269" s="6" t="s">
        <v>305</v>
      </c>
      <c r="C269" s="6" t="s">
        <v>26</v>
      </c>
      <c r="D269" s="6" t="s">
        <v>21</v>
      </c>
      <c r="E269" s="6"/>
      <c r="F269" s="6" t="s">
        <v>17</v>
      </c>
      <c r="G269" s="6" t="s">
        <v>18</v>
      </c>
      <c r="H269" s="7">
        <v>45190.0</v>
      </c>
      <c r="I269" s="8">
        <v>441.0</v>
      </c>
      <c r="J269" s="8">
        <v>405.72</v>
      </c>
      <c r="K269" s="8">
        <v>88.45</v>
      </c>
      <c r="L269" s="26">
        <f t="shared" si="1"/>
        <v>178922.52</v>
      </c>
    </row>
    <row r="270">
      <c r="B270" s="6" t="s">
        <v>306</v>
      </c>
      <c r="C270" s="6" t="s">
        <v>14</v>
      </c>
      <c r="D270" s="6" t="s">
        <v>15</v>
      </c>
      <c r="E270" s="6" t="s">
        <v>27</v>
      </c>
      <c r="F270" s="6" t="s">
        <v>28</v>
      </c>
      <c r="G270" s="6" t="s">
        <v>33</v>
      </c>
      <c r="H270" s="7">
        <v>45191.0</v>
      </c>
      <c r="I270" s="8">
        <v>453.0</v>
      </c>
      <c r="J270" s="8">
        <v>384.49</v>
      </c>
      <c r="K270" s="8">
        <v>56.85</v>
      </c>
      <c r="L270" s="26">
        <f t="shared" si="1"/>
        <v>174173.97</v>
      </c>
    </row>
    <row r="271">
      <c r="B271" s="6" t="s">
        <v>307</v>
      </c>
      <c r="C271" s="6" t="s">
        <v>61</v>
      </c>
      <c r="D271" s="6" t="s">
        <v>31</v>
      </c>
      <c r="E271" s="6" t="s">
        <v>32</v>
      </c>
      <c r="F271" s="6" t="s">
        <v>17</v>
      </c>
      <c r="G271" s="6" t="s">
        <v>33</v>
      </c>
      <c r="H271" s="7">
        <v>45192.0</v>
      </c>
      <c r="I271" s="8">
        <v>328.0</v>
      </c>
      <c r="J271" s="8">
        <v>79.1</v>
      </c>
      <c r="K271" s="8">
        <v>265.89</v>
      </c>
      <c r="L271" s="26">
        <f t="shared" si="1"/>
        <v>25944.8</v>
      </c>
    </row>
    <row r="272">
      <c r="B272" s="6" t="s">
        <v>308</v>
      </c>
      <c r="C272" s="6" t="s">
        <v>20</v>
      </c>
      <c r="D272" s="6" t="s">
        <v>63</v>
      </c>
      <c r="E272" s="6" t="s">
        <v>55</v>
      </c>
      <c r="F272" s="6" t="s">
        <v>28</v>
      </c>
      <c r="G272" s="6" t="s">
        <v>33</v>
      </c>
      <c r="H272" s="7">
        <v>45193.0</v>
      </c>
      <c r="I272" s="8">
        <v>223.0</v>
      </c>
      <c r="J272" s="8">
        <v>214.85</v>
      </c>
      <c r="K272" s="8">
        <v>2.75</v>
      </c>
      <c r="L272" s="26">
        <f t="shared" si="1"/>
        <v>47911.55</v>
      </c>
    </row>
    <row r="273">
      <c r="B273" s="6" t="s">
        <v>309</v>
      </c>
      <c r="C273" s="6" t="s">
        <v>20</v>
      </c>
      <c r="D273" s="6" t="s">
        <v>21</v>
      </c>
      <c r="E273" s="6" t="s">
        <v>16</v>
      </c>
      <c r="F273" s="6" t="s">
        <v>17</v>
      </c>
      <c r="G273" s="6" t="s">
        <v>33</v>
      </c>
      <c r="H273" s="7">
        <v>45194.0</v>
      </c>
      <c r="I273" s="8">
        <v>126.0</v>
      </c>
      <c r="J273" s="8">
        <v>80.73</v>
      </c>
      <c r="K273" s="8">
        <v>72.99</v>
      </c>
      <c r="L273" s="26">
        <f t="shared" si="1"/>
        <v>10171.98</v>
      </c>
    </row>
    <row r="274">
      <c r="B274" s="6" t="s">
        <v>310</v>
      </c>
      <c r="C274" s="6" t="s">
        <v>14</v>
      </c>
      <c r="D274" s="6" t="s">
        <v>39</v>
      </c>
      <c r="E274" s="6" t="s">
        <v>22</v>
      </c>
      <c r="F274" s="6" t="s">
        <v>17</v>
      </c>
      <c r="G274" s="6" t="s">
        <v>33</v>
      </c>
      <c r="H274" s="7">
        <v>45195.0</v>
      </c>
      <c r="I274" s="8">
        <v>395.0</v>
      </c>
      <c r="J274" s="8">
        <v>121.44</v>
      </c>
      <c r="K274" s="8">
        <v>13.57</v>
      </c>
      <c r="L274" s="26">
        <f t="shared" si="1"/>
        <v>47968.8</v>
      </c>
    </row>
    <row r="275">
      <c r="B275" s="6" t="s">
        <v>311</v>
      </c>
      <c r="C275" s="6" t="s">
        <v>14</v>
      </c>
      <c r="D275" s="6" t="s">
        <v>21</v>
      </c>
      <c r="E275" s="6" t="s">
        <v>32</v>
      </c>
      <c r="F275" s="6" t="s">
        <v>28</v>
      </c>
      <c r="G275" s="6" t="s">
        <v>18</v>
      </c>
      <c r="H275" s="7">
        <v>45196.0</v>
      </c>
      <c r="I275" s="8">
        <v>353.0</v>
      </c>
      <c r="J275" s="8">
        <v>435.28</v>
      </c>
      <c r="K275" s="8">
        <v>68.42</v>
      </c>
      <c r="L275" s="26">
        <f t="shared" si="1"/>
        <v>153653.84</v>
      </c>
    </row>
    <row r="276">
      <c r="B276" s="6" t="s">
        <v>312</v>
      </c>
      <c r="C276" s="6" t="s">
        <v>61</v>
      </c>
      <c r="D276" s="6" t="s">
        <v>39</v>
      </c>
      <c r="E276" s="6" t="s">
        <v>32</v>
      </c>
      <c r="F276" s="6" t="s">
        <v>28</v>
      </c>
      <c r="G276" s="6" t="s">
        <v>18</v>
      </c>
      <c r="H276" s="7">
        <v>45197.0</v>
      </c>
      <c r="I276" s="8">
        <v>81.0</v>
      </c>
      <c r="J276" s="8">
        <v>239.08</v>
      </c>
      <c r="K276" s="8">
        <v>74.17</v>
      </c>
      <c r="L276" s="26">
        <f t="shared" si="1"/>
        <v>19365.48</v>
      </c>
    </row>
    <row r="277">
      <c r="B277" s="6" t="s">
        <v>313</v>
      </c>
      <c r="C277" s="6" t="s">
        <v>20</v>
      </c>
      <c r="D277" s="6" t="s">
        <v>15</v>
      </c>
      <c r="E277" s="6" t="s">
        <v>27</v>
      </c>
      <c r="F277" s="6" t="s">
        <v>28</v>
      </c>
      <c r="G277" s="6" t="s">
        <v>18</v>
      </c>
      <c r="H277" s="7">
        <v>45198.0</v>
      </c>
      <c r="I277" s="8">
        <v>404.0</v>
      </c>
      <c r="J277" s="8">
        <v>270.0</v>
      </c>
      <c r="K277" s="8">
        <v>156.29</v>
      </c>
      <c r="L277" s="26">
        <f t="shared" si="1"/>
        <v>109080</v>
      </c>
    </row>
    <row r="278">
      <c r="B278" s="6" t="s">
        <v>314</v>
      </c>
      <c r="C278" s="6" t="s">
        <v>20</v>
      </c>
      <c r="D278" s="6" t="s">
        <v>31</v>
      </c>
      <c r="E278" s="6" t="s">
        <v>27</v>
      </c>
      <c r="F278" s="6" t="s">
        <v>28</v>
      </c>
      <c r="G278" s="6" t="s">
        <v>18</v>
      </c>
      <c r="H278" s="7">
        <v>45199.0</v>
      </c>
      <c r="I278" s="8">
        <v>73.0</v>
      </c>
      <c r="J278" s="8">
        <v>93.33</v>
      </c>
      <c r="K278" s="8">
        <v>162.13</v>
      </c>
      <c r="L278" s="26">
        <f t="shared" si="1"/>
        <v>6813.09</v>
      </c>
    </row>
    <row r="279">
      <c r="B279" s="6" t="s">
        <v>315</v>
      </c>
      <c r="C279" s="6" t="s">
        <v>20</v>
      </c>
      <c r="D279" s="6" t="s">
        <v>21</v>
      </c>
      <c r="E279" s="6" t="s">
        <v>16</v>
      </c>
      <c r="F279" s="6" t="s">
        <v>17</v>
      </c>
      <c r="G279" s="6" t="s">
        <v>33</v>
      </c>
      <c r="H279" s="7">
        <v>45200.0</v>
      </c>
      <c r="I279" s="8">
        <v>214.0</v>
      </c>
      <c r="J279" s="8">
        <v>159.57</v>
      </c>
      <c r="K279" s="8">
        <v>349.96</v>
      </c>
      <c r="L279" s="26">
        <f t="shared" si="1"/>
        <v>34147.98</v>
      </c>
    </row>
    <row r="280">
      <c r="B280" s="6" t="s">
        <v>316</v>
      </c>
      <c r="C280" s="6" t="s">
        <v>26</v>
      </c>
      <c r="D280" s="6" t="s">
        <v>63</v>
      </c>
      <c r="E280" s="6" t="s">
        <v>16</v>
      </c>
      <c r="F280" s="6" t="s">
        <v>28</v>
      </c>
      <c r="G280" s="6" t="s">
        <v>23</v>
      </c>
      <c r="H280" s="7">
        <v>45201.0</v>
      </c>
      <c r="I280" s="8">
        <v>218.0</v>
      </c>
      <c r="J280" s="8">
        <v>118.97</v>
      </c>
      <c r="K280" s="8">
        <v>205.02</v>
      </c>
      <c r="L280" s="26">
        <f t="shared" si="1"/>
        <v>25935.46</v>
      </c>
    </row>
    <row r="281">
      <c r="B281" s="6" t="s">
        <v>317</v>
      </c>
      <c r="C281" s="6" t="s">
        <v>20</v>
      </c>
      <c r="D281" s="6" t="s">
        <v>15</v>
      </c>
      <c r="E281" s="6" t="s">
        <v>55</v>
      </c>
      <c r="F281" s="6" t="s">
        <v>28</v>
      </c>
      <c r="G281" s="6" t="s">
        <v>18</v>
      </c>
      <c r="H281" s="7">
        <v>45202.0</v>
      </c>
      <c r="I281" s="8">
        <v>81.0</v>
      </c>
      <c r="J281" s="8">
        <v>107.06</v>
      </c>
      <c r="K281" s="8">
        <v>289.92</v>
      </c>
      <c r="L281" s="26">
        <f t="shared" si="1"/>
        <v>8671.86</v>
      </c>
    </row>
    <row r="282">
      <c r="B282" s="6" t="s">
        <v>318</v>
      </c>
      <c r="C282" s="6" t="s">
        <v>26</v>
      </c>
      <c r="D282" s="6" t="s">
        <v>21</v>
      </c>
      <c r="E282" s="6" t="s">
        <v>55</v>
      </c>
      <c r="F282" s="6" t="s">
        <v>28</v>
      </c>
      <c r="G282" s="6" t="s">
        <v>23</v>
      </c>
      <c r="H282" s="7">
        <v>45203.0</v>
      </c>
      <c r="I282" s="8">
        <v>286.0</v>
      </c>
      <c r="J282" s="8">
        <v>320.79</v>
      </c>
      <c r="K282" s="8">
        <v>43.45</v>
      </c>
      <c r="L282" s="26">
        <f t="shared" si="1"/>
        <v>91745.94</v>
      </c>
    </row>
    <row r="283">
      <c r="B283" s="6" t="s">
        <v>319</v>
      </c>
      <c r="C283" s="6" t="s">
        <v>61</v>
      </c>
      <c r="D283" s="6" t="s">
        <v>63</v>
      </c>
      <c r="E283" s="6" t="s">
        <v>16</v>
      </c>
      <c r="F283" s="6" t="s">
        <v>17</v>
      </c>
      <c r="G283" s="6" t="s">
        <v>18</v>
      </c>
      <c r="H283" s="7">
        <v>45204.0</v>
      </c>
      <c r="I283" s="8">
        <v>283.0</v>
      </c>
      <c r="J283" s="8">
        <v>132.16</v>
      </c>
      <c r="K283" s="8">
        <v>91.72</v>
      </c>
      <c r="L283" s="26">
        <f t="shared" si="1"/>
        <v>37401.28</v>
      </c>
    </row>
    <row r="284">
      <c r="B284" s="6" t="s">
        <v>320</v>
      </c>
      <c r="C284" s="6" t="s">
        <v>26</v>
      </c>
      <c r="D284" s="6" t="s">
        <v>21</v>
      </c>
      <c r="E284" s="6" t="s">
        <v>16</v>
      </c>
      <c r="F284" s="6" t="s">
        <v>17</v>
      </c>
      <c r="G284" s="6" t="s">
        <v>18</v>
      </c>
      <c r="H284" s="7">
        <v>45205.0</v>
      </c>
      <c r="I284" s="8">
        <v>487.0</v>
      </c>
      <c r="J284" s="8">
        <v>317.85</v>
      </c>
      <c r="K284" s="8">
        <v>281.77</v>
      </c>
      <c r="L284" s="26">
        <f t="shared" si="1"/>
        <v>154792.95</v>
      </c>
    </row>
    <row r="285">
      <c r="B285" s="6" t="s">
        <v>321</v>
      </c>
      <c r="C285" s="6" t="s">
        <v>61</v>
      </c>
      <c r="D285" s="6" t="s">
        <v>39</v>
      </c>
      <c r="E285" s="6" t="s">
        <v>22</v>
      </c>
      <c r="F285" s="6" t="s">
        <v>28</v>
      </c>
      <c r="G285" s="6" t="s">
        <v>23</v>
      </c>
      <c r="H285" s="7">
        <v>45206.0</v>
      </c>
      <c r="I285" s="8">
        <v>329.0</v>
      </c>
      <c r="J285" s="8">
        <v>33.94</v>
      </c>
      <c r="K285" s="8">
        <v>23.02</v>
      </c>
      <c r="L285" s="26">
        <f t="shared" si="1"/>
        <v>11166.26</v>
      </c>
    </row>
    <row r="286">
      <c r="B286" s="6" t="s">
        <v>322</v>
      </c>
      <c r="C286" s="6" t="s">
        <v>20</v>
      </c>
      <c r="D286" s="6" t="s">
        <v>21</v>
      </c>
      <c r="E286" s="6" t="s">
        <v>27</v>
      </c>
      <c r="F286" s="6" t="s">
        <v>17</v>
      </c>
      <c r="G286" s="6" t="s">
        <v>33</v>
      </c>
      <c r="H286" s="7">
        <v>45207.0</v>
      </c>
      <c r="I286" s="8">
        <v>347.0</v>
      </c>
      <c r="J286" s="8">
        <v>75.18</v>
      </c>
      <c r="K286" s="8">
        <v>195.67</v>
      </c>
      <c r="L286" s="26">
        <f t="shared" si="1"/>
        <v>26087.46</v>
      </c>
    </row>
    <row r="287">
      <c r="B287" s="6" t="s">
        <v>323</v>
      </c>
      <c r="C287" s="6" t="s">
        <v>20</v>
      </c>
      <c r="D287" s="6" t="s">
        <v>21</v>
      </c>
      <c r="E287" s="6" t="s">
        <v>55</v>
      </c>
      <c r="F287" s="6" t="s">
        <v>28</v>
      </c>
      <c r="G287" s="6" t="s">
        <v>18</v>
      </c>
      <c r="H287" s="7">
        <v>45208.0</v>
      </c>
      <c r="I287" s="8">
        <v>375.0</v>
      </c>
      <c r="J287" s="8">
        <v>140.9</v>
      </c>
      <c r="K287" s="8">
        <v>240.55</v>
      </c>
      <c r="L287" s="26">
        <f t="shared" si="1"/>
        <v>52837.5</v>
      </c>
    </row>
    <row r="288">
      <c r="B288" s="6" t="s">
        <v>324</v>
      </c>
      <c r="C288" s="6" t="s">
        <v>61</v>
      </c>
      <c r="D288" s="6" t="s">
        <v>21</v>
      </c>
      <c r="E288" s="6" t="s">
        <v>27</v>
      </c>
      <c r="F288" s="6" t="s">
        <v>17</v>
      </c>
      <c r="G288" s="6" t="s">
        <v>18</v>
      </c>
      <c r="H288" s="7">
        <v>45209.0</v>
      </c>
      <c r="I288" s="8">
        <v>104.0</v>
      </c>
      <c r="J288" s="8">
        <v>300.54</v>
      </c>
      <c r="K288" s="8">
        <v>241.65</v>
      </c>
      <c r="L288" s="26">
        <f t="shared" si="1"/>
        <v>31256.16</v>
      </c>
    </row>
    <row r="289">
      <c r="B289" s="6" t="s">
        <v>325</v>
      </c>
      <c r="C289" s="6" t="s">
        <v>14</v>
      </c>
      <c r="D289" s="6" t="s">
        <v>15</v>
      </c>
      <c r="E289" s="6"/>
      <c r="F289" s="6" t="s">
        <v>17</v>
      </c>
      <c r="G289" s="6" t="s">
        <v>18</v>
      </c>
      <c r="H289" s="7">
        <v>45210.0</v>
      </c>
      <c r="I289" s="8">
        <v>175.0</v>
      </c>
      <c r="J289" s="8">
        <v>339.54</v>
      </c>
      <c r="K289" s="8">
        <v>11.13</v>
      </c>
      <c r="L289" s="26">
        <f t="shared" si="1"/>
        <v>59419.5</v>
      </c>
    </row>
    <row r="290">
      <c r="B290" s="6" t="s">
        <v>326</v>
      </c>
      <c r="C290" s="6" t="s">
        <v>61</v>
      </c>
      <c r="D290" s="6" t="s">
        <v>21</v>
      </c>
      <c r="E290" s="6" t="s">
        <v>16</v>
      </c>
      <c r="F290" s="6" t="s">
        <v>17</v>
      </c>
      <c r="G290" s="6" t="s">
        <v>23</v>
      </c>
      <c r="H290" s="7">
        <v>45211.0</v>
      </c>
      <c r="I290" s="8">
        <v>41.0</v>
      </c>
      <c r="J290" s="8">
        <v>224.14</v>
      </c>
      <c r="K290" s="8">
        <v>130.2</v>
      </c>
      <c r="L290" s="26">
        <f t="shared" si="1"/>
        <v>9189.74</v>
      </c>
    </row>
    <row r="291">
      <c r="B291" s="6" t="s">
        <v>327</v>
      </c>
      <c r="C291" s="6" t="s">
        <v>14</v>
      </c>
      <c r="D291" s="6" t="s">
        <v>63</v>
      </c>
      <c r="E291" s="6" t="s">
        <v>22</v>
      </c>
      <c r="F291" s="6" t="s">
        <v>17</v>
      </c>
      <c r="G291" s="6" t="s">
        <v>33</v>
      </c>
      <c r="H291" s="7">
        <v>45212.0</v>
      </c>
      <c r="I291" s="8">
        <v>20.0</v>
      </c>
      <c r="J291" s="8">
        <v>225.67</v>
      </c>
      <c r="K291" s="8">
        <v>255.32</v>
      </c>
      <c r="L291" s="26">
        <f t="shared" si="1"/>
        <v>4513.4</v>
      </c>
    </row>
    <row r="292">
      <c r="B292" s="6" t="s">
        <v>328</v>
      </c>
      <c r="C292" s="6" t="s">
        <v>26</v>
      </c>
      <c r="D292" s="6" t="s">
        <v>39</v>
      </c>
      <c r="E292" s="6" t="s">
        <v>32</v>
      </c>
      <c r="F292" s="6" t="s">
        <v>28</v>
      </c>
      <c r="G292" s="6" t="s">
        <v>23</v>
      </c>
      <c r="H292" s="7">
        <v>45213.0</v>
      </c>
      <c r="I292" s="8">
        <v>310.0</v>
      </c>
      <c r="J292" s="8">
        <v>363.64</v>
      </c>
      <c r="K292" s="8">
        <v>61.3</v>
      </c>
      <c r="L292" s="26">
        <f t="shared" si="1"/>
        <v>112728.4</v>
      </c>
    </row>
    <row r="293">
      <c r="B293" s="6" t="s">
        <v>329</v>
      </c>
      <c r="C293" s="6" t="s">
        <v>26</v>
      </c>
      <c r="D293" s="6" t="s">
        <v>39</v>
      </c>
      <c r="E293" s="6" t="s">
        <v>22</v>
      </c>
      <c r="F293" s="6" t="s">
        <v>28</v>
      </c>
      <c r="G293" s="6" t="s">
        <v>23</v>
      </c>
      <c r="H293" s="7">
        <v>45214.0</v>
      </c>
      <c r="I293" s="8">
        <v>226.0</v>
      </c>
      <c r="J293" s="6"/>
      <c r="K293" s="8">
        <v>278.78</v>
      </c>
      <c r="L293" s="26">
        <f t="shared" si="1"/>
        <v>0</v>
      </c>
    </row>
    <row r="294">
      <c r="B294" s="6" t="s">
        <v>330</v>
      </c>
      <c r="C294" s="6" t="s">
        <v>26</v>
      </c>
      <c r="D294" s="6" t="s">
        <v>21</v>
      </c>
      <c r="E294" s="6" t="s">
        <v>22</v>
      </c>
      <c r="F294" s="6" t="s">
        <v>28</v>
      </c>
      <c r="G294" s="6" t="s">
        <v>33</v>
      </c>
      <c r="H294" s="7">
        <v>45215.0</v>
      </c>
      <c r="I294" s="6"/>
      <c r="J294" s="8">
        <v>173.84</v>
      </c>
      <c r="K294" s="8">
        <v>298.88</v>
      </c>
      <c r="L294" s="26">
        <f t="shared" si="1"/>
        <v>0</v>
      </c>
    </row>
    <row r="295">
      <c r="B295" s="6" t="s">
        <v>331</v>
      </c>
      <c r="C295" s="6" t="s">
        <v>20</v>
      </c>
      <c r="D295" s="6" t="s">
        <v>15</v>
      </c>
      <c r="E295" s="6" t="s">
        <v>27</v>
      </c>
      <c r="F295" s="6" t="s">
        <v>17</v>
      </c>
      <c r="G295" s="6" t="s">
        <v>23</v>
      </c>
      <c r="H295" s="7">
        <v>45216.0</v>
      </c>
      <c r="I295" s="8">
        <v>111.0</v>
      </c>
      <c r="J295" s="8">
        <v>410.26</v>
      </c>
      <c r="K295" s="8">
        <v>392.82</v>
      </c>
      <c r="L295" s="26">
        <f t="shared" si="1"/>
        <v>45538.86</v>
      </c>
    </row>
    <row r="296">
      <c r="B296" s="6" t="s">
        <v>332</v>
      </c>
      <c r="C296" s="6" t="s">
        <v>26</v>
      </c>
      <c r="D296" s="6" t="s">
        <v>15</v>
      </c>
      <c r="E296" s="6" t="s">
        <v>22</v>
      </c>
      <c r="F296" s="6" t="s">
        <v>28</v>
      </c>
      <c r="G296" s="6" t="s">
        <v>33</v>
      </c>
      <c r="H296" s="7">
        <v>45217.0</v>
      </c>
      <c r="I296" s="8">
        <v>434.0</v>
      </c>
      <c r="J296" s="8">
        <v>303.59</v>
      </c>
      <c r="K296" s="8">
        <v>85.52</v>
      </c>
      <c r="L296" s="26">
        <f t="shared" si="1"/>
        <v>131758.06</v>
      </c>
    </row>
    <row r="297">
      <c r="B297" s="6" t="s">
        <v>333</v>
      </c>
      <c r="C297" s="6" t="s">
        <v>14</v>
      </c>
      <c r="D297" s="6" t="s">
        <v>63</v>
      </c>
      <c r="E297" s="6" t="s">
        <v>55</v>
      </c>
      <c r="F297" s="6" t="s">
        <v>28</v>
      </c>
      <c r="G297" s="6" t="s">
        <v>18</v>
      </c>
      <c r="H297" s="7">
        <v>45218.0</v>
      </c>
      <c r="I297" s="8">
        <v>401.0</v>
      </c>
      <c r="J297" s="8">
        <v>171.93</v>
      </c>
      <c r="K297" s="8">
        <v>330.4</v>
      </c>
      <c r="L297" s="26">
        <f t="shared" si="1"/>
        <v>68943.93</v>
      </c>
    </row>
    <row r="298">
      <c r="B298" s="6" t="s">
        <v>334</v>
      </c>
      <c r="C298" s="6" t="s">
        <v>26</v>
      </c>
      <c r="D298" s="6" t="s">
        <v>21</v>
      </c>
      <c r="E298" s="6" t="s">
        <v>27</v>
      </c>
      <c r="F298" s="6" t="s">
        <v>28</v>
      </c>
      <c r="G298" s="6" t="s">
        <v>33</v>
      </c>
      <c r="H298" s="7">
        <v>45219.0</v>
      </c>
      <c r="I298" s="8">
        <v>276.0</v>
      </c>
      <c r="J298" s="8">
        <v>453.23</v>
      </c>
      <c r="K298" s="8">
        <v>209.08</v>
      </c>
      <c r="L298" s="26">
        <f t="shared" si="1"/>
        <v>125091.48</v>
      </c>
    </row>
    <row r="299">
      <c r="B299" s="6" t="s">
        <v>335</v>
      </c>
      <c r="C299" s="6" t="s">
        <v>61</v>
      </c>
      <c r="D299" s="6" t="s">
        <v>39</v>
      </c>
      <c r="E299" s="6" t="s">
        <v>55</v>
      </c>
      <c r="F299" s="6" t="s">
        <v>17</v>
      </c>
      <c r="G299" s="6" t="s">
        <v>18</v>
      </c>
      <c r="H299" s="7">
        <v>45220.0</v>
      </c>
      <c r="I299" s="6"/>
      <c r="J299" s="8">
        <v>387.45</v>
      </c>
      <c r="K299" s="8">
        <v>150.64</v>
      </c>
      <c r="L299" s="26">
        <f t="shared" si="1"/>
        <v>0</v>
      </c>
    </row>
    <row r="300">
      <c r="B300" s="6" t="s">
        <v>336</v>
      </c>
      <c r="C300" s="6" t="s">
        <v>61</v>
      </c>
      <c r="D300" s="6" t="s">
        <v>15</v>
      </c>
      <c r="E300" s="6" t="s">
        <v>32</v>
      </c>
      <c r="F300" s="6" t="s">
        <v>17</v>
      </c>
      <c r="G300" s="6" t="s">
        <v>23</v>
      </c>
      <c r="H300" s="7">
        <v>45221.0</v>
      </c>
      <c r="I300" s="8">
        <v>188.0</v>
      </c>
      <c r="J300" s="8">
        <v>136.12</v>
      </c>
      <c r="K300" s="8">
        <v>50.71</v>
      </c>
      <c r="L300" s="26">
        <f t="shared" si="1"/>
        <v>25590.56</v>
      </c>
    </row>
    <row r="301">
      <c r="B301" s="6" t="s">
        <v>337</v>
      </c>
      <c r="C301" s="6" t="s">
        <v>20</v>
      </c>
      <c r="D301" s="6" t="s">
        <v>21</v>
      </c>
      <c r="E301" s="6" t="s">
        <v>27</v>
      </c>
      <c r="F301" s="6" t="s">
        <v>17</v>
      </c>
      <c r="G301" s="6" t="s">
        <v>23</v>
      </c>
      <c r="H301" s="7">
        <v>45222.0</v>
      </c>
      <c r="I301" s="8">
        <v>97.0</v>
      </c>
      <c r="J301" s="8">
        <v>324.42</v>
      </c>
      <c r="K301" s="8">
        <v>294.73</v>
      </c>
      <c r="L301" s="26">
        <f t="shared" si="1"/>
        <v>31468.74</v>
      </c>
    </row>
    <row r="302">
      <c r="B302" s="6" t="s">
        <v>338</v>
      </c>
      <c r="C302" s="6" t="s">
        <v>61</v>
      </c>
      <c r="D302" s="6" t="s">
        <v>15</v>
      </c>
      <c r="E302" s="6" t="s">
        <v>32</v>
      </c>
      <c r="F302" s="6" t="s">
        <v>28</v>
      </c>
      <c r="G302" s="6" t="s">
        <v>18</v>
      </c>
      <c r="H302" s="7">
        <v>45223.0</v>
      </c>
      <c r="I302" s="8">
        <v>50.0</v>
      </c>
      <c r="J302" s="8">
        <v>299.9</v>
      </c>
      <c r="K302" s="8">
        <v>95.87</v>
      </c>
      <c r="L302" s="26">
        <f t="shared" si="1"/>
        <v>14995</v>
      </c>
    </row>
    <row r="303">
      <c r="B303" s="6" t="s">
        <v>339</v>
      </c>
      <c r="C303" s="6" t="s">
        <v>14</v>
      </c>
      <c r="D303" s="6" t="s">
        <v>15</v>
      </c>
      <c r="E303" s="6" t="s">
        <v>27</v>
      </c>
      <c r="F303" s="6" t="s">
        <v>28</v>
      </c>
      <c r="G303" s="6" t="s">
        <v>23</v>
      </c>
      <c r="H303" s="7">
        <v>45224.0</v>
      </c>
      <c r="I303" s="8">
        <v>410.0</v>
      </c>
      <c r="J303" s="8">
        <v>203.59</v>
      </c>
      <c r="K303" s="8">
        <v>149.83</v>
      </c>
      <c r="L303" s="26">
        <f t="shared" si="1"/>
        <v>83471.9</v>
      </c>
    </row>
    <row r="304">
      <c r="B304" s="6" t="s">
        <v>340</v>
      </c>
      <c r="C304" s="6" t="s">
        <v>26</v>
      </c>
      <c r="D304" s="6" t="s">
        <v>39</v>
      </c>
      <c r="E304" s="6" t="s">
        <v>16</v>
      </c>
      <c r="F304" s="6" t="s">
        <v>28</v>
      </c>
      <c r="G304" s="6" t="s">
        <v>33</v>
      </c>
      <c r="H304" s="7">
        <v>45225.0</v>
      </c>
      <c r="I304" s="8">
        <v>85.0</v>
      </c>
      <c r="J304" s="8">
        <v>186.64</v>
      </c>
      <c r="K304" s="8">
        <v>26.89</v>
      </c>
      <c r="L304" s="26">
        <f t="shared" si="1"/>
        <v>15864.4</v>
      </c>
    </row>
    <row r="305">
      <c r="B305" s="6" t="s">
        <v>341</v>
      </c>
      <c r="C305" s="6" t="s">
        <v>20</v>
      </c>
      <c r="D305" s="6" t="s">
        <v>31</v>
      </c>
      <c r="E305" s="6" t="s">
        <v>22</v>
      </c>
      <c r="F305" s="6" t="s">
        <v>17</v>
      </c>
      <c r="G305" s="6" t="s">
        <v>18</v>
      </c>
      <c r="H305" s="7">
        <v>45226.0</v>
      </c>
      <c r="I305" s="8">
        <v>386.0</v>
      </c>
      <c r="J305" s="8">
        <v>175.06</v>
      </c>
      <c r="K305" s="8">
        <v>320.94</v>
      </c>
      <c r="L305" s="26">
        <f t="shared" si="1"/>
        <v>67573.16</v>
      </c>
    </row>
    <row r="306">
      <c r="B306" s="6" t="s">
        <v>342</v>
      </c>
      <c r="C306" s="6" t="s">
        <v>26</v>
      </c>
      <c r="D306" s="6" t="s">
        <v>63</v>
      </c>
      <c r="E306" s="6" t="s">
        <v>16</v>
      </c>
      <c r="F306" s="6" t="s">
        <v>17</v>
      </c>
      <c r="G306" s="6" t="s">
        <v>23</v>
      </c>
      <c r="H306" s="7">
        <v>45227.0</v>
      </c>
      <c r="I306" s="8">
        <v>55.0</v>
      </c>
      <c r="J306" s="8">
        <v>310.49</v>
      </c>
      <c r="K306" s="8">
        <v>307.1</v>
      </c>
      <c r="L306" s="26">
        <f t="shared" si="1"/>
        <v>17076.95</v>
      </c>
    </row>
    <row r="307">
      <c r="B307" s="6" t="s">
        <v>343</v>
      </c>
      <c r="C307" s="6" t="s">
        <v>26</v>
      </c>
      <c r="D307" s="6" t="s">
        <v>63</v>
      </c>
      <c r="E307" s="6" t="s">
        <v>32</v>
      </c>
      <c r="F307" s="6" t="s">
        <v>28</v>
      </c>
      <c r="G307" s="6" t="s">
        <v>18</v>
      </c>
      <c r="H307" s="7">
        <v>45228.0</v>
      </c>
      <c r="I307" s="8">
        <v>169.0</v>
      </c>
      <c r="J307" s="8">
        <v>223.99</v>
      </c>
      <c r="K307" s="8">
        <v>293.98</v>
      </c>
      <c r="L307" s="26">
        <f t="shared" si="1"/>
        <v>37854.31</v>
      </c>
    </row>
    <row r="308">
      <c r="B308" s="6" t="s">
        <v>344</v>
      </c>
      <c r="C308" s="6" t="s">
        <v>14</v>
      </c>
      <c r="D308" s="6" t="s">
        <v>39</v>
      </c>
      <c r="E308" s="6" t="s">
        <v>22</v>
      </c>
      <c r="F308" s="6" t="s">
        <v>17</v>
      </c>
      <c r="G308" s="6" t="s">
        <v>33</v>
      </c>
      <c r="H308" s="7">
        <v>45229.0</v>
      </c>
      <c r="I308" s="8">
        <v>472.0</v>
      </c>
      <c r="J308" s="8">
        <v>416.77</v>
      </c>
      <c r="K308" s="8">
        <v>121.18</v>
      </c>
      <c r="L308" s="26">
        <f t="shared" si="1"/>
        <v>196715.44</v>
      </c>
    </row>
    <row r="309">
      <c r="B309" s="6" t="s">
        <v>345</v>
      </c>
      <c r="C309" s="6" t="s">
        <v>61</v>
      </c>
      <c r="D309" s="6" t="s">
        <v>15</v>
      </c>
      <c r="E309" s="6" t="s">
        <v>27</v>
      </c>
      <c r="F309" s="6" t="s">
        <v>17</v>
      </c>
      <c r="G309" s="6" t="s">
        <v>33</v>
      </c>
      <c r="H309" s="7">
        <v>45230.0</v>
      </c>
      <c r="I309" s="8">
        <v>89.0</v>
      </c>
      <c r="J309" s="8">
        <v>336.45</v>
      </c>
      <c r="K309" s="8">
        <v>71.05</v>
      </c>
      <c r="L309" s="26">
        <f t="shared" si="1"/>
        <v>29944.05</v>
      </c>
    </row>
    <row r="310">
      <c r="B310" s="6" t="s">
        <v>346</v>
      </c>
      <c r="C310" s="6" t="s">
        <v>61</v>
      </c>
      <c r="D310" s="6" t="s">
        <v>21</v>
      </c>
      <c r="E310" s="6" t="s">
        <v>22</v>
      </c>
      <c r="F310" s="6" t="s">
        <v>17</v>
      </c>
      <c r="G310" s="6" t="s">
        <v>23</v>
      </c>
      <c r="H310" s="7">
        <v>45231.0</v>
      </c>
      <c r="I310" s="8">
        <v>319.0</v>
      </c>
      <c r="J310" s="8">
        <v>39.62</v>
      </c>
      <c r="K310" s="8">
        <v>255.75</v>
      </c>
      <c r="L310" s="26">
        <f t="shared" si="1"/>
        <v>12638.78</v>
      </c>
    </row>
    <row r="311">
      <c r="B311" s="6" t="s">
        <v>347</v>
      </c>
      <c r="C311" s="6" t="s">
        <v>26</v>
      </c>
      <c r="D311" s="6" t="s">
        <v>15</v>
      </c>
      <c r="E311" s="6"/>
      <c r="F311" s="6" t="s">
        <v>17</v>
      </c>
      <c r="G311" s="6" t="s">
        <v>33</v>
      </c>
      <c r="H311" s="7">
        <v>45232.0</v>
      </c>
      <c r="I311" s="8">
        <v>95.0</v>
      </c>
      <c r="J311" s="8">
        <v>321.88</v>
      </c>
      <c r="K311" s="8">
        <v>199.47</v>
      </c>
      <c r="L311" s="26">
        <f t="shared" si="1"/>
        <v>30578.6</v>
      </c>
    </row>
    <row r="312">
      <c r="B312" s="6" t="s">
        <v>348</v>
      </c>
      <c r="C312" s="6" t="s">
        <v>20</v>
      </c>
      <c r="D312" s="6" t="s">
        <v>39</v>
      </c>
      <c r="E312" s="6"/>
      <c r="F312" s="6" t="s">
        <v>28</v>
      </c>
      <c r="G312" s="6" t="s">
        <v>18</v>
      </c>
      <c r="H312" s="7">
        <v>45233.0</v>
      </c>
      <c r="I312" s="8">
        <v>101.0</v>
      </c>
      <c r="J312" s="8">
        <v>139.22</v>
      </c>
      <c r="K312" s="8">
        <v>72.94</v>
      </c>
      <c r="L312" s="26">
        <f t="shared" si="1"/>
        <v>14061.22</v>
      </c>
    </row>
    <row r="313">
      <c r="B313" s="6" t="s">
        <v>349</v>
      </c>
      <c r="C313" s="6" t="s">
        <v>61</v>
      </c>
      <c r="D313" s="6" t="s">
        <v>63</v>
      </c>
      <c r="E313" s="6"/>
      <c r="F313" s="6" t="s">
        <v>17</v>
      </c>
      <c r="G313" s="6" t="s">
        <v>33</v>
      </c>
      <c r="H313" s="7">
        <v>45234.0</v>
      </c>
      <c r="I313" s="8">
        <v>157.0</v>
      </c>
      <c r="J313" s="6"/>
      <c r="K313" s="8">
        <v>274.99</v>
      </c>
      <c r="L313" s="26">
        <f t="shared" si="1"/>
        <v>0</v>
      </c>
    </row>
    <row r="314">
      <c r="B314" s="6" t="s">
        <v>350</v>
      </c>
      <c r="C314" s="6" t="s">
        <v>20</v>
      </c>
      <c r="D314" s="6" t="s">
        <v>15</v>
      </c>
      <c r="E314" s="6" t="s">
        <v>22</v>
      </c>
      <c r="F314" s="6" t="s">
        <v>17</v>
      </c>
      <c r="G314" s="6" t="s">
        <v>18</v>
      </c>
      <c r="H314" s="7">
        <v>45235.0</v>
      </c>
      <c r="I314" s="8">
        <v>170.0</v>
      </c>
      <c r="J314" s="8">
        <v>341.67</v>
      </c>
      <c r="K314" s="8">
        <v>396.47</v>
      </c>
      <c r="L314" s="26">
        <f t="shared" si="1"/>
        <v>58083.9</v>
      </c>
    </row>
    <row r="315">
      <c r="B315" s="6" t="s">
        <v>351</v>
      </c>
      <c r="C315" s="6" t="s">
        <v>61</v>
      </c>
      <c r="D315" s="6" t="s">
        <v>63</v>
      </c>
      <c r="E315" s="6" t="s">
        <v>55</v>
      </c>
      <c r="F315" s="6" t="s">
        <v>17</v>
      </c>
      <c r="G315" s="6" t="s">
        <v>18</v>
      </c>
      <c r="H315" s="7">
        <v>45236.0</v>
      </c>
      <c r="I315" s="8">
        <v>211.0</v>
      </c>
      <c r="J315" s="8">
        <v>119.26</v>
      </c>
      <c r="K315" s="8">
        <v>299.39</v>
      </c>
      <c r="L315" s="26">
        <f t="shared" si="1"/>
        <v>25163.86</v>
      </c>
    </row>
    <row r="316">
      <c r="B316" s="6" t="s">
        <v>352</v>
      </c>
      <c r="C316" s="6" t="s">
        <v>20</v>
      </c>
      <c r="D316" s="6" t="s">
        <v>21</v>
      </c>
      <c r="E316" s="6" t="s">
        <v>32</v>
      </c>
      <c r="F316" s="6" t="s">
        <v>17</v>
      </c>
      <c r="G316" s="6" t="s">
        <v>33</v>
      </c>
      <c r="H316" s="7">
        <v>45237.0</v>
      </c>
      <c r="I316" s="8">
        <v>433.0</v>
      </c>
      <c r="J316" s="8">
        <v>231.15</v>
      </c>
      <c r="K316" s="8">
        <v>296.51</v>
      </c>
      <c r="L316" s="26">
        <f t="shared" si="1"/>
        <v>100087.95</v>
      </c>
    </row>
    <row r="317">
      <c r="B317" s="6" t="s">
        <v>353</v>
      </c>
      <c r="C317" s="6" t="s">
        <v>14</v>
      </c>
      <c r="D317" s="6" t="s">
        <v>63</v>
      </c>
      <c r="E317" s="6" t="s">
        <v>16</v>
      </c>
      <c r="F317" s="6" t="s">
        <v>28</v>
      </c>
      <c r="G317" s="6" t="s">
        <v>23</v>
      </c>
      <c r="H317" s="7">
        <v>45238.0</v>
      </c>
      <c r="I317" s="8">
        <v>425.0</v>
      </c>
      <c r="J317" s="8">
        <v>99.21</v>
      </c>
      <c r="K317" s="8">
        <v>380.22</v>
      </c>
      <c r="L317" s="26">
        <f t="shared" si="1"/>
        <v>42164.25</v>
      </c>
    </row>
    <row r="318">
      <c r="B318" s="6" t="s">
        <v>354</v>
      </c>
      <c r="C318" s="6" t="s">
        <v>20</v>
      </c>
      <c r="D318" s="6" t="s">
        <v>63</v>
      </c>
      <c r="E318" s="6" t="s">
        <v>27</v>
      </c>
      <c r="F318" s="6" t="s">
        <v>28</v>
      </c>
      <c r="G318" s="6" t="s">
        <v>33</v>
      </c>
      <c r="H318" s="7">
        <v>45239.0</v>
      </c>
      <c r="I318" s="8">
        <v>251.0</v>
      </c>
      <c r="J318" s="8">
        <v>30.91</v>
      </c>
      <c r="K318" s="8">
        <v>82.77</v>
      </c>
      <c r="L318" s="26">
        <f t="shared" si="1"/>
        <v>7758.41</v>
      </c>
    </row>
    <row r="319">
      <c r="B319" s="6" t="s">
        <v>355</v>
      </c>
      <c r="C319" s="6" t="s">
        <v>14</v>
      </c>
      <c r="D319" s="6" t="s">
        <v>31</v>
      </c>
      <c r="E319" s="6" t="s">
        <v>22</v>
      </c>
      <c r="F319" s="6" t="s">
        <v>17</v>
      </c>
      <c r="G319" s="6" t="s">
        <v>18</v>
      </c>
      <c r="H319" s="7">
        <v>45240.0</v>
      </c>
      <c r="I319" s="6"/>
      <c r="J319" s="8">
        <v>192.35</v>
      </c>
      <c r="K319" s="8">
        <v>227.09</v>
      </c>
      <c r="L319" s="26">
        <f t="shared" si="1"/>
        <v>0</v>
      </c>
    </row>
    <row r="320">
      <c r="B320" s="6" t="s">
        <v>356</v>
      </c>
      <c r="C320" s="6" t="s">
        <v>14</v>
      </c>
      <c r="D320" s="6" t="s">
        <v>31</v>
      </c>
      <c r="E320" s="6" t="s">
        <v>16</v>
      </c>
      <c r="F320" s="6" t="s">
        <v>17</v>
      </c>
      <c r="G320" s="6" t="s">
        <v>18</v>
      </c>
      <c r="H320" s="7">
        <v>45241.0</v>
      </c>
      <c r="I320" s="8">
        <v>11.0</v>
      </c>
      <c r="J320" s="8">
        <v>184.66</v>
      </c>
      <c r="K320" s="8">
        <v>391.9</v>
      </c>
      <c r="L320" s="26">
        <f t="shared" si="1"/>
        <v>2031.26</v>
      </c>
    </row>
    <row r="321">
      <c r="B321" s="6" t="s">
        <v>357</v>
      </c>
      <c r="C321" s="6" t="s">
        <v>20</v>
      </c>
      <c r="D321" s="6" t="s">
        <v>31</v>
      </c>
      <c r="E321" s="6" t="s">
        <v>27</v>
      </c>
      <c r="F321" s="6" t="s">
        <v>17</v>
      </c>
      <c r="G321" s="6" t="s">
        <v>33</v>
      </c>
      <c r="H321" s="7">
        <v>45242.0</v>
      </c>
      <c r="I321" s="8">
        <v>234.0</v>
      </c>
      <c r="J321" s="8">
        <v>497.76</v>
      </c>
      <c r="K321" s="8">
        <v>67.79</v>
      </c>
      <c r="L321" s="26">
        <f t="shared" si="1"/>
        <v>116475.84</v>
      </c>
    </row>
    <row r="322">
      <c r="B322" s="6" t="s">
        <v>358</v>
      </c>
      <c r="C322" s="6" t="s">
        <v>14</v>
      </c>
      <c r="D322" s="6" t="s">
        <v>63</v>
      </c>
      <c r="E322" s="6" t="s">
        <v>27</v>
      </c>
      <c r="F322" s="6" t="s">
        <v>17</v>
      </c>
      <c r="G322" s="6" t="s">
        <v>23</v>
      </c>
      <c r="H322" s="7">
        <v>45243.0</v>
      </c>
      <c r="I322" s="6"/>
      <c r="J322" s="8">
        <v>225.94</v>
      </c>
      <c r="K322" s="8">
        <v>280.7</v>
      </c>
      <c r="L322" s="26">
        <f t="shared" si="1"/>
        <v>0</v>
      </c>
    </row>
    <row r="323">
      <c r="B323" s="6" t="s">
        <v>359</v>
      </c>
      <c r="C323" s="6" t="s">
        <v>26</v>
      </c>
      <c r="D323" s="6" t="s">
        <v>39</v>
      </c>
      <c r="E323" s="6" t="s">
        <v>55</v>
      </c>
      <c r="F323" s="6" t="s">
        <v>17</v>
      </c>
      <c r="G323" s="6" t="s">
        <v>23</v>
      </c>
      <c r="H323" s="7">
        <v>45244.0</v>
      </c>
      <c r="I323" s="8">
        <v>242.0</v>
      </c>
      <c r="J323" s="8">
        <v>170.12</v>
      </c>
      <c r="K323" s="8">
        <v>235.15</v>
      </c>
      <c r="L323" s="26">
        <f t="shared" si="1"/>
        <v>41169.04</v>
      </c>
    </row>
    <row r="324">
      <c r="B324" s="6" t="s">
        <v>360</v>
      </c>
      <c r="C324" s="6" t="s">
        <v>14</v>
      </c>
      <c r="D324" s="6" t="s">
        <v>63</v>
      </c>
      <c r="E324" s="6" t="s">
        <v>32</v>
      </c>
      <c r="F324" s="6" t="s">
        <v>17</v>
      </c>
      <c r="G324" s="6" t="s">
        <v>18</v>
      </c>
      <c r="H324" s="7">
        <v>45245.0</v>
      </c>
      <c r="I324" s="8">
        <v>470.0</v>
      </c>
      <c r="J324" s="8">
        <v>292.34</v>
      </c>
      <c r="K324" s="8">
        <v>235.42</v>
      </c>
      <c r="L324" s="26">
        <f t="shared" si="1"/>
        <v>137399.8</v>
      </c>
    </row>
    <row r="325">
      <c r="B325" s="6" t="s">
        <v>361</v>
      </c>
      <c r="C325" s="6" t="s">
        <v>61</v>
      </c>
      <c r="D325" s="6" t="s">
        <v>39</v>
      </c>
      <c r="E325" s="6" t="s">
        <v>32</v>
      </c>
      <c r="F325" s="6" t="s">
        <v>28</v>
      </c>
      <c r="G325" s="6" t="s">
        <v>18</v>
      </c>
      <c r="H325" s="7">
        <v>45246.0</v>
      </c>
      <c r="I325" s="8">
        <v>423.0</v>
      </c>
      <c r="J325" s="8">
        <v>48.94</v>
      </c>
      <c r="K325" s="8">
        <v>279.67</v>
      </c>
      <c r="L325" s="26">
        <f t="shared" si="1"/>
        <v>20701.62</v>
      </c>
    </row>
    <row r="326">
      <c r="B326" s="6" t="s">
        <v>362</v>
      </c>
      <c r="C326" s="6" t="s">
        <v>20</v>
      </c>
      <c r="D326" s="6" t="s">
        <v>39</v>
      </c>
      <c r="E326" s="6" t="s">
        <v>16</v>
      </c>
      <c r="F326" s="6" t="s">
        <v>17</v>
      </c>
      <c r="G326" s="6" t="s">
        <v>23</v>
      </c>
      <c r="H326" s="7">
        <v>45247.0</v>
      </c>
      <c r="I326" s="8">
        <v>426.0</v>
      </c>
      <c r="J326" s="8">
        <v>481.02</v>
      </c>
      <c r="K326" s="8">
        <v>371.99</v>
      </c>
      <c r="L326" s="26">
        <f t="shared" si="1"/>
        <v>204914.52</v>
      </c>
    </row>
    <row r="327">
      <c r="B327" s="6" t="s">
        <v>363</v>
      </c>
      <c r="C327" s="6" t="s">
        <v>26</v>
      </c>
      <c r="D327" s="6" t="s">
        <v>31</v>
      </c>
      <c r="E327" s="6" t="s">
        <v>32</v>
      </c>
      <c r="F327" s="6" t="s">
        <v>28</v>
      </c>
      <c r="G327" s="6" t="s">
        <v>33</v>
      </c>
      <c r="H327" s="7">
        <v>45248.0</v>
      </c>
      <c r="I327" s="8">
        <v>86.0</v>
      </c>
      <c r="J327" s="8">
        <v>319.31</v>
      </c>
      <c r="K327" s="8">
        <v>313.47</v>
      </c>
      <c r="L327" s="26">
        <f t="shared" si="1"/>
        <v>27460.66</v>
      </c>
    </row>
    <row r="328">
      <c r="B328" s="6" t="s">
        <v>364</v>
      </c>
      <c r="C328" s="6" t="s">
        <v>20</v>
      </c>
      <c r="D328" s="6" t="s">
        <v>15</v>
      </c>
      <c r="E328" s="6" t="s">
        <v>22</v>
      </c>
      <c r="F328" s="6" t="s">
        <v>28</v>
      </c>
      <c r="G328" s="6" t="s">
        <v>18</v>
      </c>
      <c r="H328" s="7">
        <v>45249.0</v>
      </c>
      <c r="I328" s="8">
        <v>125.0</v>
      </c>
      <c r="J328" s="8">
        <v>378.64</v>
      </c>
      <c r="K328" s="8">
        <v>24.34</v>
      </c>
      <c r="L328" s="26">
        <f t="shared" si="1"/>
        <v>47330</v>
      </c>
    </row>
    <row r="329">
      <c r="B329" s="6" t="s">
        <v>365</v>
      </c>
      <c r="C329" s="6" t="s">
        <v>61</v>
      </c>
      <c r="D329" s="6" t="s">
        <v>21</v>
      </c>
      <c r="E329" s="6"/>
      <c r="F329" s="6" t="s">
        <v>17</v>
      </c>
      <c r="G329" s="6" t="s">
        <v>18</v>
      </c>
      <c r="H329" s="7">
        <v>45250.0</v>
      </c>
      <c r="I329" s="8">
        <v>163.0</v>
      </c>
      <c r="J329" s="8">
        <v>89.39</v>
      </c>
      <c r="K329" s="8">
        <v>341.39</v>
      </c>
      <c r="L329" s="26">
        <f t="shared" si="1"/>
        <v>14570.57</v>
      </c>
    </row>
    <row r="330">
      <c r="B330" s="6" t="s">
        <v>366</v>
      </c>
      <c r="C330" s="6" t="s">
        <v>61</v>
      </c>
      <c r="D330" s="6" t="s">
        <v>31</v>
      </c>
      <c r="E330" s="6" t="s">
        <v>16</v>
      </c>
      <c r="F330" s="6" t="s">
        <v>28</v>
      </c>
      <c r="G330" s="6" t="s">
        <v>23</v>
      </c>
      <c r="H330" s="7">
        <v>45251.0</v>
      </c>
      <c r="I330" s="8">
        <v>415.0</v>
      </c>
      <c r="J330" s="8">
        <v>207.69</v>
      </c>
      <c r="K330" s="8">
        <v>91.77</v>
      </c>
      <c r="L330" s="26">
        <f t="shared" si="1"/>
        <v>86191.35</v>
      </c>
    </row>
    <row r="331">
      <c r="B331" s="6" t="s">
        <v>367</v>
      </c>
      <c r="C331" s="6" t="s">
        <v>61</v>
      </c>
      <c r="D331" s="6" t="s">
        <v>31</v>
      </c>
      <c r="E331" s="6" t="s">
        <v>32</v>
      </c>
      <c r="F331" s="6" t="s">
        <v>28</v>
      </c>
      <c r="G331" s="6" t="s">
        <v>33</v>
      </c>
      <c r="H331" s="7">
        <v>45252.0</v>
      </c>
      <c r="I331" s="8">
        <v>112.0</v>
      </c>
      <c r="J331" s="8">
        <v>214.23</v>
      </c>
      <c r="K331" s="8">
        <v>152.01</v>
      </c>
      <c r="L331" s="26">
        <f t="shared" si="1"/>
        <v>23993.76</v>
      </c>
    </row>
    <row r="332">
      <c r="B332" s="6" t="s">
        <v>368</v>
      </c>
      <c r="C332" s="6" t="s">
        <v>14</v>
      </c>
      <c r="D332" s="6" t="s">
        <v>15</v>
      </c>
      <c r="E332" s="6" t="s">
        <v>22</v>
      </c>
      <c r="F332" s="6" t="s">
        <v>28</v>
      </c>
      <c r="G332" s="6" t="s">
        <v>23</v>
      </c>
      <c r="H332" s="7">
        <v>45253.0</v>
      </c>
      <c r="I332" s="8">
        <v>203.0</v>
      </c>
      <c r="J332" s="8">
        <v>411.79</v>
      </c>
      <c r="K332" s="8">
        <v>185.77</v>
      </c>
      <c r="L332" s="26">
        <f t="shared" si="1"/>
        <v>83593.37</v>
      </c>
    </row>
    <row r="333">
      <c r="B333" s="6" t="s">
        <v>369</v>
      </c>
      <c r="C333" s="6" t="s">
        <v>14</v>
      </c>
      <c r="D333" s="6" t="s">
        <v>21</v>
      </c>
      <c r="E333" s="6" t="s">
        <v>55</v>
      </c>
      <c r="F333" s="6" t="s">
        <v>28</v>
      </c>
      <c r="G333" s="6" t="s">
        <v>33</v>
      </c>
      <c r="H333" s="7">
        <v>45254.0</v>
      </c>
      <c r="I333" s="6"/>
      <c r="J333" s="8">
        <v>5.61</v>
      </c>
      <c r="K333" s="8">
        <v>193.4</v>
      </c>
      <c r="L333" s="26">
        <f t="shared" si="1"/>
        <v>0</v>
      </c>
    </row>
    <row r="334">
      <c r="B334" s="6" t="s">
        <v>370</v>
      </c>
      <c r="C334" s="6" t="s">
        <v>20</v>
      </c>
      <c r="D334" s="6" t="s">
        <v>63</v>
      </c>
      <c r="E334" s="6" t="s">
        <v>16</v>
      </c>
      <c r="F334" s="6" t="s">
        <v>28</v>
      </c>
      <c r="G334" s="6" t="s">
        <v>33</v>
      </c>
      <c r="H334" s="7">
        <v>45255.0</v>
      </c>
      <c r="I334" s="8">
        <v>368.0</v>
      </c>
      <c r="J334" s="8">
        <v>153.92</v>
      </c>
      <c r="K334" s="8">
        <v>175.2</v>
      </c>
      <c r="L334" s="26">
        <f t="shared" si="1"/>
        <v>56642.56</v>
      </c>
    </row>
    <row r="335">
      <c r="B335" s="6" t="s">
        <v>371</v>
      </c>
      <c r="C335" s="6" t="s">
        <v>20</v>
      </c>
      <c r="D335" s="6" t="s">
        <v>63</v>
      </c>
      <c r="E335" s="6" t="s">
        <v>55</v>
      </c>
      <c r="F335" s="6" t="s">
        <v>28</v>
      </c>
      <c r="G335" s="6" t="s">
        <v>33</v>
      </c>
      <c r="H335" s="7">
        <v>45256.0</v>
      </c>
      <c r="I335" s="8">
        <v>99.0</v>
      </c>
      <c r="J335" s="8">
        <v>490.71</v>
      </c>
      <c r="K335" s="8">
        <v>375.07</v>
      </c>
      <c r="L335" s="26">
        <f t="shared" si="1"/>
        <v>48580.29</v>
      </c>
    </row>
    <row r="336">
      <c r="B336" s="6" t="s">
        <v>372</v>
      </c>
      <c r="C336" s="6" t="s">
        <v>26</v>
      </c>
      <c r="D336" s="6" t="s">
        <v>31</v>
      </c>
      <c r="E336" s="6" t="s">
        <v>55</v>
      </c>
      <c r="F336" s="6" t="s">
        <v>17</v>
      </c>
      <c r="G336" s="6" t="s">
        <v>18</v>
      </c>
      <c r="H336" s="7">
        <v>45257.0</v>
      </c>
      <c r="I336" s="8">
        <v>183.0</v>
      </c>
      <c r="J336" s="8">
        <v>240.07</v>
      </c>
      <c r="K336" s="8">
        <v>283.0</v>
      </c>
      <c r="L336" s="26">
        <f t="shared" si="1"/>
        <v>43932.81</v>
      </c>
    </row>
    <row r="337">
      <c r="B337" s="6" t="s">
        <v>373</v>
      </c>
      <c r="C337" s="6"/>
      <c r="D337" s="6" t="s">
        <v>21</v>
      </c>
      <c r="E337" s="6" t="s">
        <v>55</v>
      </c>
      <c r="F337" s="6" t="s">
        <v>28</v>
      </c>
      <c r="G337" s="6" t="s">
        <v>23</v>
      </c>
      <c r="H337" s="7">
        <v>45258.0</v>
      </c>
      <c r="I337" s="8">
        <v>131.0</v>
      </c>
      <c r="J337" s="8">
        <v>194.35</v>
      </c>
      <c r="K337" s="8">
        <v>253.21</v>
      </c>
      <c r="L337" s="26">
        <f t="shared" si="1"/>
        <v>25459.85</v>
      </c>
    </row>
    <row r="338">
      <c r="B338" s="6" t="s">
        <v>374</v>
      </c>
      <c r="C338" s="6" t="s">
        <v>20</v>
      </c>
      <c r="D338" s="6" t="s">
        <v>31</v>
      </c>
      <c r="E338" s="6" t="s">
        <v>27</v>
      </c>
      <c r="F338" s="6" t="s">
        <v>28</v>
      </c>
      <c r="G338" s="6" t="s">
        <v>23</v>
      </c>
      <c r="H338" s="7">
        <v>45259.0</v>
      </c>
      <c r="I338" s="8">
        <v>152.0</v>
      </c>
      <c r="J338" s="8">
        <v>64.32</v>
      </c>
      <c r="K338" s="8">
        <v>21.84</v>
      </c>
      <c r="L338" s="26">
        <f t="shared" si="1"/>
        <v>9776.64</v>
      </c>
    </row>
    <row r="339">
      <c r="B339" s="6" t="s">
        <v>375</v>
      </c>
      <c r="C339" s="6" t="s">
        <v>14</v>
      </c>
      <c r="D339" s="6" t="s">
        <v>39</v>
      </c>
      <c r="E339" s="6" t="s">
        <v>27</v>
      </c>
      <c r="F339" s="6" t="s">
        <v>28</v>
      </c>
      <c r="G339" s="6" t="s">
        <v>33</v>
      </c>
      <c r="H339" s="7">
        <v>45260.0</v>
      </c>
      <c r="I339" s="8">
        <v>491.0</v>
      </c>
      <c r="J339" s="8">
        <v>487.21</v>
      </c>
      <c r="K339" s="8">
        <v>361.76</v>
      </c>
      <c r="L339" s="26">
        <f t="shared" si="1"/>
        <v>239220.11</v>
      </c>
    </row>
    <row r="340">
      <c r="B340" s="6" t="s">
        <v>376</v>
      </c>
      <c r="C340" s="6" t="s">
        <v>61</v>
      </c>
      <c r="D340" s="6" t="s">
        <v>31</v>
      </c>
      <c r="E340" s="6" t="s">
        <v>55</v>
      </c>
      <c r="F340" s="6" t="s">
        <v>17</v>
      </c>
      <c r="G340" s="6" t="s">
        <v>18</v>
      </c>
      <c r="H340" s="7">
        <v>45261.0</v>
      </c>
      <c r="I340" s="8">
        <v>115.0</v>
      </c>
      <c r="J340" s="8">
        <v>14.91</v>
      </c>
      <c r="K340" s="8">
        <v>363.94</v>
      </c>
      <c r="L340" s="26">
        <f t="shared" si="1"/>
        <v>1714.65</v>
      </c>
    </row>
    <row r="341">
      <c r="B341" s="6" t="s">
        <v>377</v>
      </c>
      <c r="C341" s="6" t="s">
        <v>20</v>
      </c>
      <c r="D341" s="6" t="s">
        <v>31</v>
      </c>
      <c r="E341" s="6" t="s">
        <v>16</v>
      </c>
      <c r="F341" s="6" t="s">
        <v>28</v>
      </c>
      <c r="G341" s="6" t="s">
        <v>18</v>
      </c>
      <c r="H341" s="7">
        <v>45262.0</v>
      </c>
      <c r="I341" s="8">
        <v>384.0</v>
      </c>
      <c r="J341" s="8">
        <v>369.9</v>
      </c>
      <c r="K341" s="8">
        <v>312.52</v>
      </c>
      <c r="L341" s="26">
        <f t="shared" si="1"/>
        <v>142041.6</v>
      </c>
    </row>
    <row r="342">
      <c r="B342" s="6" t="s">
        <v>378</v>
      </c>
      <c r="C342" s="6" t="s">
        <v>26</v>
      </c>
      <c r="D342" s="6" t="s">
        <v>63</v>
      </c>
      <c r="E342" s="6" t="s">
        <v>22</v>
      </c>
      <c r="F342" s="6" t="s">
        <v>17</v>
      </c>
      <c r="G342" s="6" t="s">
        <v>23</v>
      </c>
      <c r="H342" s="7">
        <v>45263.0</v>
      </c>
      <c r="I342" s="8">
        <v>437.0</v>
      </c>
      <c r="J342" s="8">
        <v>385.46</v>
      </c>
      <c r="K342" s="8">
        <v>4.8</v>
      </c>
      <c r="L342" s="26">
        <f t="shared" si="1"/>
        <v>168446.02</v>
      </c>
    </row>
    <row r="343">
      <c r="B343" s="6" t="s">
        <v>379</v>
      </c>
      <c r="C343" s="6" t="s">
        <v>14</v>
      </c>
      <c r="D343" s="6" t="s">
        <v>63</v>
      </c>
      <c r="E343" s="6" t="s">
        <v>22</v>
      </c>
      <c r="F343" s="6" t="s">
        <v>28</v>
      </c>
      <c r="G343" s="6" t="s">
        <v>18</v>
      </c>
      <c r="H343" s="7">
        <v>45264.0</v>
      </c>
      <c r="I343" s="8">
        <v>314.0</v>
      </c>
      <c r="J343" s="8">
        <v>125.61</v>
      </c>
      <c r="K343" s="8">
        <v>24.8</v>
      </c>
      <c r="L343" s="26">
        <f t="shared" si="1"/>
        <v>39441.54</v>
      </c>
    </row>
    <row r="344">
      <c r="B344" s="6" t="s">
        <v>380</v>
      </c>
      <c r="C344" s="6" t="s">
        <v>20</v>
      </c>
      <c r="D344" s="6" t="s">
        <v>63</v>
      </c>
      <c r="E344" s="6" t="s">
        <v>32</v>
      </c>
      <c r="F344" s="6" t="s">
        <v>17</v>
      </c>
      <c r="G344" s="6" t="s">
        <v>18</v>
      </c>
      <c r="H344" s="7">
        <v>45265.0</v>
      </c>
      <c r="I344" s="8">
        <v>369.0</v>
      </c>
      <c r="J344" s="8">
        <v>337.42</v>
      </c>
      <c r="K344" s="8">
        <v>91.64</v>
      </c>
      <c r="L344" s="26">
        <f t="shared" si="1"/>
        <v>124507.98</v>
      </c>
    </row>
    <row r="345">
      <c r="B345" s="6" t="s">
        <v>381</v>
      </c>
      <c r="C345" s="6" t="s">
        <v>20</v>
      </c>
      <c r="D345" s="6" t="s">
        <v>39</v>
      </c>
      <c r="E345" s="6" t="s">
        <v>16</v>
      </c>
      <c r="F345" s="6" t="s">
        <v>17</v>
      </c>
      <c r="G345" s="6" t="s">
        <v>33</v>
      </c>
      <c r="H345" s="7">
        <v>45266.0</v>
      </c>
      <c r="I345" s="8">
        <v>468.0</v>
      </c>
      <c r="J345" s="8">
        <v>51.0</v>
      </c>
      <c r="K345" s="8">
        <v>54.28</v>
      </c>
      <c r="L345" s="26">
        <f t="shared" si="1"/>
        <v>23868</v>
      </c>
    </row>
    <row r="346">
      <c r="B346" s="6" t="s">
        <v>382</v>
      </c>
      <c r="C346" s="6" t="s">
        <v>14</v>
      </c>
      <c r="D346" s="6" t="s">
        <v>63</v>
      </c>
      <c r="E346" s="6" t="s">
        <v>27</v>
      </c>
      <c r="F346" s="6" t="s">
        <v>28</v>
      </c>
      <c r="G346" s="6" t="s">
        <v>18</v>
      </c>
      <c r="H346" s="7">
        <v>45267.0</v>
      </c>
      <c r="I346" s="8">
        <v>326.0</v>
      </c>
      <c r="J346" s="8">
        <v>132.24</v>
      </c>
      <c r="K346" s="8">
        <v>160.74</v>
      </c>
      <c r="L346" s="26">
        <f t="shared" si="1"/>
        <v>43110.24</v>
      </c>
    </row>
    <row r="347">
      <c r="B347" s="6" t="s">
        <v>383</v>
      </c>
      <c r="C347" s="6" t="s">
        <v>20</v>
      </c>
      <c r="D347" s="6" t="s">
        <v>21</v>
      </c>
      <c r="E347" s="6" t="s">
        <v>55</v>
      </c>
      <c r="F347" s="6" t="s">
        <v>28</v>
      </c>
      <c r="G347" s="6" t="s">
        <v>33</v>
      </c>
      <c r="H347" s="7">
        <v>45268.0</v>
      </c>
      <c r="I347" s="8">
        <v>460.0</v>
      </c>
      <c r="J347" s="8">
        <v>395.01</v>
      </c>
      <c r="K347" s="8">
        <v>369.2</v>
      </c>
      <c r="L347" s="26">
        <f t="shared" si="1"/>
        <v>181704.6</v>
      </c>
    </row>
    <row r="348">
      <c r="B348" s="6" t="s">
        <v>384</v>
      </c>
      <c r="C348" s="6" t="s">
        <v>14</v>
      </c>
      <c r="D348" s="6" t="s">
        <v>15</v>
      </c>
      <c r="E348" s="6" t="s">
        <v>32</v>
      </c>
      <c r="F348" s="6" t="s">
        <v>17</v>
      </c>
      <c r="G348" s="6" t="s">
        <v>23</v>
      </c>
      <c r="H348" s="7">
        <v>45269.0</v>
      </c>
      <c r="I348" s="8">
        <v>132.0</v>
      </c>
      <c r="J348" s="8">
        <v>433.02</v>
      </c>
      <c r="K348" s="8">
        <v>189.88</v>
      </c>
      <c r="L348" s="26">
        <f t="shared" si="1"/>
        <v>57158.64</v>
      </c>
    </row>
    <row r="349">
      <c r="B349" s="6" t="s">
        <v>385</v>
      </c>
      <c r="C349" s="6" t="s">
        <v>61</v>
      </c>
      <c r="D349" s="6" t="s">
        <v>21</v>
      </c>
      <c r="E349" s="6" t="s">
        <v>22</v>
      </c>
      <c r="F349" s="6" t="s">
        <v>28</v>
      </c>
      <c r="G349" s="6" t="s">
        <v>18</v>
      </c>
      <c r="H349" s="7">
        <v>45270.0</v>
      </c>
      <c r="I349" s="8">
        <v>399.0</v>
      </c>
      <c r="J349" s="8">
        <v>306.2</v>
      </c>
      <c r="K349" s="8">
        <v>7.33</v>
      </c>
      <c r="L349" s="26">
        <f t="shared" si="1"/>
        <v>122173.8</v>
      </c>
    </row>
    <row r="350">
      <c r="B350" s="6" t="s">
        <v>386</v>
      </c>
      <c r="C350" s="6" t="s">
        <v>14</v>
      </c>
      <c r="D350" s="6" t="s">
        <v>21</v>
      </c>
      <c r="E350" s="6" t="s">
        <v>27</v>
      </c>
      <c r="F350" s="6" t="s">
        <v>17</v>
      </c>
      <c r="G350" s="6" t="s">
        <v>23</v>
      </c>
      <c r="H350" s="7">
        <v>45271.0</v>
      </c>
      <c r="I350" s="8">
        <v>18.0</v>
      </c>
      <c r="J350" s="8">
        <v>255.89</v>
      </c>
      <c r="K350" s="8">
        <v>114.53</v>
      </c>
      <c r="L350" s="26">
        <f t="shared" si="1"/>
        <v>4606.02</v>
      </c>
    </row>
    <row r="351">
      <c r="B351" s="6" t="s">
        <v>387</v>
      </c>
      <c r="C351" s="6" t="s">
        <v>14</v>
      </c>
      <c r="D351" s="6" t="s">
        <v>63</v>
      </c>
      <c r="E351" s="6" t="s">
        <v>27</v>
      </c>
      <c r="F351" s="6" t="s">
        <v>17</v>
      </c>
      <c r="G351" s="6" t="s">
        <v>23</v>
      </c>
      <c r="H351" s="7">
        <v>45272.0</v>
      </c>
      <c r="I351" s="8">
        <v>271.0</v>
      </c>
      <c r="J351" s="8">
        <v>83.86</v>
      </c>
      <c r="K351" s="8">
        <v>19.75</v>
      </c>
      <c r="L351" s="26">
        <f t="shared" si="1"/>
        <v>22726.06</v>
      </c>
    </row>
    <row r="352">
      <c r="B352" s="6" t="s">
        <v>388</v>
      </c>
      <c r="C352" s="6"/>
      <c r="D352" s="6" t="s">
        <v>15</v>
      </c>
      <c r="E352" s="6" t="s">
        <v>55</v>
      </c>
      <c r="F352" s="6" t="s">
        <v>17</v>
      </c>
      <c r="G352" s="6" t="s">
        <v>18</v>
      </c>
      <c r="H352" s="7">
        <v>45273.0</v>
      </c>
      <c r="I352" s="8">
        <v>82.0</v>
      </c>
      <c r="J352" s="8">
        <v>36.24</v>
      </c>
      <c r="K352" s="8">
        <v>16.44</v>
      </c>
      <c r="L352" s="26">
        <f t="shared" si="1"/>
        <v>2971.68</v>
      </c>
    </row>
    <row r="353">
      <c r="B353" s="6" t="s">
        <v>389</v>
      </c>
      <c r="C353" s="6" t="s">
        <v>20</v>
      </c>
      <c r="D353" s="6" t="s">
        <v>15</v>
      </c>
      <c r="E353" s="6" t="s">
        <v>22</v>
      </c>
      <c r="F353" s="6" t="s">
        <v>17</v>
      </c>
      <c r="G353" s="6" t="s">
        <v>18</v>
      </c>
      <c r="H353" s="7">
        <v>45274.0</v>
      </c>
      <c r="I353" s="8">
        <v>368.0</v>
      </c>
      <c r="J353" s="8">
        <v>63.24</v>
      </c>
      <c r="K353" s="8">
        <v>111.74</v>
      </c>
      <c r="L353" s="26">
        <f t="shared" si="1"/>
        <v>23272.32</v>
      </c>
    </row>
    <row r="354">
      <c r="B354" s="6" t="s">
        <v>390</v>
      </c>
      <c r="C354" s="6" t="s">
        <v>20</v>
      </c>
      <c r="D354" s="6" t="s">
        <v>15</v>
      </c>
      <c r="E354" s="6" t="s">
        <v>16</v>
      </c>
      <c r="F354" s="6" t="s">
        <v>17</v>
      </c>
      <c r="G354" s="6" t="s">
        <v>23</v>
      </c>
      <c r="H354" s="7">
        <v>45275.0</v>
      </c>
      <c r="I354" s="8">
        <v>232.0</v>
      </c>
      <c r="J354" s="8">
        <v>117.54</v>
      </c>
      <c r="K354" s="8">
        <v>111.69</v>
      </c>
      <c r="L354" s="26">
        <f t="shared" si="1"/>
        <v>27269.28</v>
      </c>
    </row>
    <row r="355">
      <c r="B355" s="6" t="s">
        <v>391</v>
      </c>
      <c r="C355" s="6" t="s">
        <v>14</v>
      </c>
      <c r="D355" s="6" t="s">
        <v>39</v>
      </c>
      <c r="E355" s="6" t="s">
        <v>27</v>
      </c>
      <c r="F355" s="6" t="s">
        <v>28</v>
      </c>
      <c r="G355" s="6" t="s">
        <v>18</v>
      </c>
      <c r="H355" s="7">
        <v>45276.0</v>
      </c>
      <c r="I355" s="8">
        <v>425.0</v>
      </c>
      <c r="J355" s="8">
        <v>174.13</v>
      </c>
      <c r="K355" s="8">
        <v>315.28</v>
      </c>
      <c r="L355" s="26">
        <f t="shared" si="1"/>
        <v>74005.25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19.38"/>
  </cols>
  <sheetData>
    <row r="3">
      <c r="A3" s="11" t="s">
        <v>424</v>
      </c>
      <c r="B3" s="11" t="s">
        <v>425</v>
      </c>
      <c r="C3" s="12"/>
      <c r="D3" s="12"/>
      <c r="E3" s="12"/>
      <c r="F3" s="12"/>
      <c r="G3" s="27"/>
    </row>
    <row r="5">
      <c r="A5" s="5" t="s">
        <v>12</v>
      </c>
      <c r="B5" s="4" t="s">
        <v>2</v>
      </c>
      <c r="C5" s="4" t="s">
        <v>3</v>
      </c>
      <c r="D5" s="4" t="s">
        <v>4</v>
      </c>
      <c r="E5" s="4" t="s">
        <v>5</v>
      </c>
      <c r="F5" s="4" t="s">
        <v>6</v>
      </c>
      <c r="G5" s="4" t="s">
        <v>7</v>
      </c>
      <c r="H5" s="4" t="s">
        <v>8</v>
      </c>
      <c r="I5" s="4" t="s">
        <v>9</v>
      </c>
      <c r="J5" s="4" t="s">
        <v>10</v>
      </c>
      <c r="K5" s="4" t="s">
        <v>11</v>
      </c>
      <c r="L5" s="28" t="s">
        <v>416</v>
      </c>
    </row>
    <row r="6">
      <c r="B6" s="6" t="s">
        <v>13</v>
      </c>
      <c r="C6" s="6" t="s">
        <v>14</v>
      </c>
      <c r="D6" s="6" t="s">
        <v>15</v>
      </c>
      <c r="E6" s="6" t="s">
        <v>16</v>
      </c>
      <c r="F6" s="6" t="s">
        <v>17</v>
      </c>
      <c r="G6" s="6" t="s">
        <v>18</v>
      </c>
      <c r="H6" s="7">
        <v>44927.0</v>
      </c>
      <c r="I6" s="8">
        <v>235.0</v>
      </c>
      <c r="J6" s="8">
        <v>152.92</v>
      </c>
      <c r="K6" s="8">
        <v>153.6</v>
      </c>
      <c r="L6" s="29">
        <f t="shared" ref="L6:L355" si="1">(I5:I355)*(J5:J355)</f>
        <v>35936.2</v>
      </c>
    </row>
    <row r="7">
      <c r="B7" s="6" t="s">
        <v>19</v>
      </c>
      <c r="C7" s="6" t="s">
        <v>20</v>
      </c>
      <c r="D7" s="6" t="s">
        <v>21</v>
      </c>
      <c r="E7" s="6" t="s">
        <v>22</v>
      </c>
      <c r="F7" s="6" t="s">
        <v>17</v>
      </c>
      <c r="G7" s="6" t="s">
        <v>23</v>
      </c>
      <c r="H7" s="7">
        <v>44928.0</v>
      </c>
      <c r="I7" s="8">
        <v>341.0</v>
      </c>
      <c r="J7" s="8">
        <v>467.92</v>
      </c>
      <c r="K7" s="8">
        <v>139.84</v>
      </c>
      <c r="L7" s="29">
        <f t="shared" si="1"/>
        <v>159560.72</v>
      </c>
    </row>
    <row r="8">
      <c r="B8" s="6" t="s">
        <v>25</v>
      </c>
      <c r="C8" s="6" t="s">
        <v>26</v>
      </c>
      <c r="D8" s="6" t="s">
        <v>21</v>
      </c>
      <c r="E8" s="6" t="s">
        <v>27</v>
      </c>
      <c r="F8" s="6" t="s">
        <v>28</v>
      </c>
      <c r="G8" s="6" t="s">
        <v>18</v>
      </c>
      <c r="H8" s="7">
        <v>44929.0</v>
      </c>
      <c r="I8" s="8">
        <v>179.0</v>
      </c>
      <c r="J8" s="8">
        <v>473.94</v>
      </c>
      <c r="K8" s="8">
        <v>97.14</v>
      </c>
      <c r="L8" s="29">
        <f t="shared" si="1"/>
        <v>84835.26</v>
      </c>
      <c r="O8" s="20"/>
      <c r="P8" s="20"/>
      <c r="Q8" s="20"/>
      <c r="R8" s="20"/>
      <c r="S8" s="20"/>
      <c r="T8" s="20"/>
    </row>
    <row r="9">
      <c r="B9" s="6" t="s">
        <v>30</v>
      </c>
      <c r="C9" s="6" t="s">
        <v>14</v>
      </c>
      <c r="D9" s="6" t="s">
        <v>31</v>
      </c>
      <c r="E9" s="6" t="s">
        <v>32</v>
      </c>
      <c r="F9" s="6" t="s">
        <v>28</v>
      </c>
      <c r="G9" s="6" t="s">
        <v>33</v>
      </c>
      <c r="H9" s="7">
        <v>44930.0</v>
      </c>
      <c r="I9" s="8">
        <v>18.0</v>
      </c>
      <c r="J9" s="8">
        <v>314.53</v>
      </c>
      <c r="K9" s="8">
        <v>204.87</v>
      </c>
      <c r="L9" s="29">
        <f t="shared" si="1"/>
        <v>5661.54</v>
      </c>
      <c r="O9" s="30">
        <f>SUMIF(B5:B355,"ORD0123",L5:L355)</f>
        <v>15849.3</v>
      </c>
      <c r="P9" s="31" t="s">
        <v>426</v>
      </c>
      <c r="Q9" s="30"/>
      <c r="R9" s="30"/>
      <c r="S9" s="30"/>
      <c r="T9" s="30"/>
    </row>
    <row r="10">
      <c r="B10" s="6" t="s">
        <v>36</v>
      </c>
      <c r="C10" s="6" t="s">
        <v>14</v>
      </c>
      <c r="D10" s="6" t="s">
        <v>21</v>
      </c>
      <c r="E10" s="6" t="s">
        <v>32</v>
      </c>
      <c r="F10" s="6" t="s">
        <v>28</v>
      </c>
      <c r="G10" s="6" t="s">
        <v>33</v>
      </c>
      <c r="H10" s="7">
        <v>44931.0</v>
      </c>
      <c r="I10" s="8">
        <v>472.0</v>
      </c>
      <c r="J10" s="8">
        <v>392.79</v>
      </c>
      <c r="K10" s="8">
        <v>330.46</v>
      </c>
      <c r="L10" s="29">
        <f t="shared" si="1"/>
        <v>185396.88</v>
      </c>
      <c r="O10" s="32"/>
      <c r="P10" s="32"/>
      <c r="Q10" s="32"/>
      <c r="R10" s="32"/>
      <c r="S10" s="32"/>
      <c r="T10" s="32"/>
    </row>
    <row r="11">
      <c r="B11" s="6" t="s">
        <v>38</v>
      </c>
      <c r="C11" s="6" t="s">
        <v>20</v>
      </c>
      <c r="D11" s="6" t="s">
        <v>39</v>
      </c>
      <c r="E11" s="6" t="s">
        <v>27</v>
      </c>
      <c r="F11" s="6" t="s">
        <v>17</v>
      </c>
      <c r="G11" s="6" t="s">
        <v>18</v>
      </c>
      <c r="H11" s="7">
        <v>44932.0</v>
      </c>
      <c r="I11" s="8">
        <v>49.0</v>
      </c>
      <c r="J11" s="8">
        <v>308.07</v>
      </c>
      <c r="K11" s="8">
        <v>113.32</v>
      </c>
      <c r="L11" s="29">
        <f t="shared" si="1"/>
        <v>15095.43</v>
      </c>
      <c r="O11" s="33" t="s">
        <v>427</v>
      </c>
      <c r="P11" s="34" t="s">
        <v>428</v>
      </c>
      <c r="Q11" s="32"/>
      <c r="R11" s="32"/>
      <c r="S11" s="32"/>
      <c r="T11" s="32"/>
    </row>
    <row r="12">
      <c r="B12" s="6" t="s">
        <v>42</v>
      </c>
      <c r="C12" s="6" t="s">
        <v>26</v>
      </c>
      <c r="D12" s="6" t="s">
        <v>15</v>
      </c>
      <c r="E12" s="6" t="s">
        <v>27</v>
      </c>
      <c r="F12" s="6" t="s">
        <v>17</v>
      </c>
      <c r="G12" s="6" t="s">
        <v>23</v>
      </c>
      <c r="H12" s="7">
        <v>44933.0</v>
      </c>
      <c r="I12" s="8">
        <v>34.0</v>
      </c>
      <c r="J12" s="8">
        <v>244.78</v>
      </c>
      <c r="K12" s="8">
        <v>377.07</v>
      </c>
      <c r="L12" s="29">
        <f t="shared" si="1"/>
        <v>8322.52</v>
      </c>
      <c r="O12" s="32"/>
      <c r="P12" s="34" t="s">
        <v>429</v>
      </c>
      <c r="Q12" s="32"/>
      <c r="R12" s="32"/>
      <c r="S12" s="32"/>
      <c r="T12" s="32"/>
    </row>
    <row r="13">
      <c r="B13" s="6" t="s">
        <v>44</v>
      </c>
      <c r="C13" s="6" t="s">
        <v>26</v>
      </c>
      <c r="D13" s="6" t="s">
        <v>21</v>
      </c>
      <c r="E13" s="6" t="s">
        <v>16</v>
      </c>
      <c r="F13" s="6" t="s">
        <v>17</v>
      </c>
      <c r="G13" s="6" t="s">
        <v>18</v>
      </c>
      <c r="H13" s="7">
        <v>44934.0</v>
      </c>
      <c r="I13" s="8">
        <v>270.0</v>
      </c>
      <c r="J13" s="8">
        <v>332.11</v>
      </c>
      <c r="K13" s="8">
        <v>349.59</v>
      </c>
      <c r="L13" s="29">
        <f t="shared" si="1"/>
        <v>89669.7</v>
      </c>
      <c r="O13" s="32"/>
      <c r="P13" s="34" t="s">
        <v>430</v>
      </c>
      <c r="Q13" s="32"/>
      <c r="R13" s="32"/>
      <c r="S13" s="32"/>
      <c r="T13" s="32"/>
    </row>
    <row r="14">
      <c r="B14" s="6" t="s">
        <v>45</v>
      </c>
      <c r="C14" s="6" t="s">
        <v>14</v>
      </c>
      <c r="D14" s="6" t="s">
        <v>21</v>
      </c>
      <c r="E14" s="6" t="s">
        <v>16</v>
      </c>
      <c r="F14" s="6" t="s">
        <v>17</v>
      </c>
      <c r="G14" s="6" t="s">
        <v>23</v>
      </c>
      <c r="H14" s="7">
        <v>44935.0</v>
      </c>
      <c r="I14" s="8">
        <v>404.0</v>
      </c>
      <c r="J14" s="8">
        <v>278.74</v>
      </c>
      <c r="K14" s="8">
        <v>66.38</v>
      </c>
      <c r="L14" s="29">
        <f t="shared" si="1"/>
        <v>112610.96</v>
      </c>
      <c r="O14" s="32"/>
      <c r="P14" s="34" t="s">
        <v>431</v>
      </c>
      <c r="Q14" s="32"/>
      <c r="R14" s="32"/>
      <c r="S14" s="32"/>
      <c r="T14" s="32"/>
    </row>
    <row r="15">
      <c r="B15" s="6" t="s">
        <v>47</v>
      </c>
      <c r="C15" s="6"/>
      <c r="D15" s="6" t="s">
        <v>31</v>
      </c>
      <c r="E15" s="6" t="s">
        <v>32</v>
      </c>
      <c r="F15" s="6" t="s">
        <v>17</v>
      </c>
      <c r="G15" s="6" t="s">
        <v>33</v>
      </c>
      <c r="H15" s="7">
        <v>44936.0</v>
      </c>
      <c r="I15" s="8">
        <v>452.0</v>
      </c>
      <c r="J15" s="8">
        <v>300.75</v>
      </c>
      <c r="K15" s="8">
        <v>314.94</v>
      </c>
      <c r="L15" s="29">
        <f t="shared" si="1"/>
        <v>135939</v>
      </c>
      <c r="O15" s="32"/>
      <c r="P15" s="32"/>
      <c r="Q15" s="32"/>
      <c r="R15" s="32"/>
      <c r="S15" s="32"/>
      <c r="T15" s="32"/>
    </row>
    <row r="16">
      <c r="B16" s="6" t="s">
        <v>49</v>
      </c>
      <c r="C16" s="6" t="s">
        <v>14</v>
      </c>
      <c r="D16" s="6" t="s">
        <v>31</v>
      </c>
      <c r="E16" s="6" t="s">
        <v>22</v>
      </c>
      <c r="F16" s="6" t="s">
        <v>17</v>
      </c>
      <c r="G16" s="6" t="s">
        <v>23</v>
      </c>
      <c r="H16" s="7">
        <v>44937.0</v>
      </c>
      <c r="I16" s="8">
        <v>235.0</v>
      </c>
      <c r="J16" s="8">
        <v>393.0</v>
      </c>
      <c r="K16" s="8">
        <v>230.69</v>
      </c>
      <c r="L16" s="29">
        <f t="shared" si="1"/>
        <v>92355</v>
      </c>
      <c r="O16" s="32"/>
      <c r="P16" s="34" t="s">
        <v>432</v>
      </c>
      <c r="Q16" s="34" t="s">
        <v>433</v>
      </c>
      <c r="R16" s="32"/>
      <c r="S16" s="32"/>
      <c r="T16" s="32"/>
    </row>
    <row r="17">
      <c r="B17" s="6" t="s">
        <v>50</v>
      </c>
      <c r="C17" s="6" t="s">
        <v>14</v>
      </c>
      <c r="D17" s="6" t="s">
        <v>39</v>
      </c>
      <c r="E17" s="6" t="s">
        <v>32</v>
      </c>
      <c r="F17" s="6" t="s">
        <v>28</v>
      </c>
      <c r="G17" s="6" t="s">
        <v>33</v>
      </c>
      <c r="H17" s="7">
        <v>44938.0</v>
      </c>
      <c r="I17" s="8">
        <v>481.0</v>
      </c>
      <c r="J17" s="8">
        <v>243.05</v>
      </c>
      <c r="K17" s="8">
        <v>227.5</v>
      </c>
      <c r="L17" s="29">
        <f t="shared" si="1"/>
        <v>116907.05</v>
      </c>
      <c r="O17" s="32"/>
      <c r="P17" s="32"/>
      <c r="Q17" s="32"/>
      <c r="R17" s="32"/>
      <c r="S17" s="32"/>
      <c r="T17" s="32"/>
    </row>
    <row r="18">
      <c r="B18" s="6" t="s">
        <v>51</v>
      </c>
      <c r="C18" s="6" t="s">
        <v>14</v>
      </c>
      <c r="D18" s="6" t="s">
        <v>15</v>
      </c>
      <c r="E18" s="6" t="s">
        <v>22</v>
      </c>
      <c r="F18" s="6" t="s">
        <v>28</v>
      </c>
      <c r="G18" s="6" t="s">
        <v>23</v>
      </c>
      <c r="H18" s="7">
        <v>44939.0</v>
      </c>
      <c r="I18" s="8">
        <v>133.0</v>
      </c>
      <c r="J18" s="8">
        <v>25.17</v>
      </c>
      <c r="K18" s="8">
        <v>157.64</v>
      </c>
      <c r="L18" s="29">
        <f t="shared" si="1"/>
        <v>3347.61</v>
      </c>
      <c r="O18" s="32"/>
      <c r="P18" s="34" t="s">
        <v>434</v>
      </c>
      <c r="Q18" s="34" t="s">
        <v>435</v>
      </c>
      <c r="R18" s="32"/>
      <c r="S18" s="32"/>
      <c r="T18" s="32"/>
    </row>
    <row r="19">
      <c r="B19" s="6" t="s">
        <v>52</v>
      </c>
      <c r="C19" s="6" t="s">
        <v>14</v>
      </c>
      <c r="D19" s="6" t="s">
        <v>31</v>
      </c>
      <c r="E19" s="6" t="s">
        <v>22</v>
      </c>
      <c r="F19" s="6" t="s">
        <v>28</v>
      </c>
      <c r="G19" s="6" t="s">
        <v>23</v>
      </c>
      <c r="H19" s="7">
        <v>44940.0</v>
      </c>
      <c r="I19" s="8">
        <v>472.0</v>
      </c>
      <c r="J19" s="8">
        <v>86.18</v>
      </c>
      <c r="K19" s="8">
        <v>201.46</v>
      </c>
      <c r="L19" s="29">
        <f t="shared" si="1"/>
        <v>40676.96</v>
      </c>
      <c r="O19" s="20"/>
      <c r="P19" s="20"/>
      <c r="Q19" s="20"/>
      <c r="R19" s="20"/>
      <c r="S19" s="20"/>
      <c r="T19" s="20"/>
    </row>
    <row r="20">
      <c r="B20" s="6" t="s">
        <v>53</v>
      </c>
      <c r="C20" s="6" t="s">
        <v>20</v>
      </c>
      <c r="D20" s="6" t="s">
        <v>21</v>
      </c>
      <c r="E20" s="6" t="s">
        <v>16</v>
      </c>
      <c r="F20" s="6" t="s">
        <v>28</v>
      </c>
      <c r="G20" s="6" t="s">
        <v>23</v>
      </c>
      <c r="H20" s="7">
        <v>44941.0</v>
      </c>
      <c r="I20" s="8">
        <v>47.0</v>
      </c>
      <c r="J20" s="8">
        <v>222.11</v>
      </c>
      <c r="K20" s="8">
        <v>160.08</v>
      </c>
      <c r="L20" s="29">
        <f t="shared" si="1"/>
        <v>10439.17</v>
      </c>
      <c r="O20" s="20"/>
      <c r="P20" s="20"/>
      <c r="Q20" s="20"/>
      <c r="R20" s="20"/>
      <c r="S20" s="20"/>
      <c r="T20" s="20"/>
    </row>
    <row r="21">
      <c r="B21" s="6" t="s">
        <v>54</v>
      </c>
      <c r="C21" s="6" t="s">
        <v>26</v>
      </c>
      <c r="D21" s="6" t="s">
        <v>15</v>
      </c>
      <c r="E21" s="6" t="s">
        <v>55</v>
      </c>
      <c r="F21" s="6" t="s">
        <v>17</v>
      </c>
      <c r="G21" s="6" t="s">
        <v>18</v>
      </c>
      <c r="H21" s="7">
        <v>44942.0</v>
      </c>
      <c r="I21" s="8">
        <v>337.0</v>
      </c>
      <c r="J21" s="8">
        <v>363.79</v>
      </c>
      <c r="K21" s="8">
        <v>216.81</v>
      </c>
      <c r="L21" s="29">
        <f t="shared" si="1"/>
        <v>122597.23</v>
      </c>
      <c r="O21" s="20"/>
      <c r="P21" s="20"/>
      <c r="Q21" s="20"/>
      <c r="R21" s="20"/>
      <c r="S21" s="20"/>
      <c r="T21" s="20"/>
    </row>
    <row r="22">
      <c r="B22" s="6" t="s">
        <v>56</v>
      </c>
      <c r="C22" s="6" t="s">
        <v>20</v>
      </c>
      <c r="D22" s="6" t="s">
        <v>15</v>
      </c>
      <c r="E22" s="6" t="s">
        <v>55</v>
      </c>
      <c r="F22" s="6" t="s">
        <v>17</v>
      </c>
      <c r="G22" s="6" t="s">
        <v>18</v>
      </c>
      <c r="H22" s="7">
        <v>44943.0</v>
      </c>
      <c r="I22" s="8">
        <v>260.0</v>
      </c>
      <c r="J22" s="8">
        <v>298.67</v>
      </c>
      <c r="K22" s="8">
        <v>251.92</v>
      </c>
      <c r="L22" s="29">
        <f t="shared" si="1"/>
        <v>77654.2</v>
      </c>
    </row>
    <row r="23">
      <c r="B23" s="6" t="s">
        <v>57</v>
      </c>
      <c r="C23" s="6"/>
      <c r="D23" s="6" t="s">
        <v>21</v>
      </c>
      <c r="E23" s="6" t="s">
        <v>27</v>
      </c>
      <c r="F23" s="6" t="s">
        <v>28</v>
      </c>
      <c r="G23" s="6" t="s">
        <v>33</v>
      </c>
      <c r="H23" s="7">
        <v>44944.0</v>
      </c>
      <c r="I23" s="8">
        <v>398.0</v>
      </c>
      <c r="J23" s="8">
        <v>326.9</v>
      </c>
      <c r="K23" s="8">
        <v>270.37</v>
      </c>
      <c r="L23" s="29">
        <f t="shared" si="1"/>
        <v>130106.2</v>
      </c>
    </row>
    <row r="24">
      <c r="B24" s="6" t="s">
        <v>58</v>
      </c>
      <c r="C24" s="6" t="s">
        <v>20</v>
      </c>
      <c r="D24" s="6" t="s">
        <v>31</v>
      </c>
      <c r="E24" s="6" t="s">
        <v>16</v>
      </c>
      <c r="F24" s="6" t="s">
        <v>17</v>
      </c>
      <c r="G24" s="6" t="s">
        <v>33</v>
      </c>
      <c r="H24" s="7">
        <v>44945.0</v>
      </c>
      <c r="I24" s="8">
        <v>185.0</v>
      </c>
      <c r="J24" s="8">
        <v>242.24</v>
      </c>
      <c r="K24" s="8">
        <v>213.93</v>
      </c>
      <c r="L24" s="29">
        <f t="shared" si="1"/>
        <v>44814.4</v>
      </c>
    </row>
    <row r="25">
      <c r="B25" s="6" t="s">
        <v>59</v>
      </c>
      <c r="C25" s="6" t="s">
        <v>14</v>
      </c>
      <c r="D25" s="6" t="s">
        <v>21</v>
      </c>
      <c r="E25" s="6" t="s">
        <v>22</v>
      </c>
      <c r="F25" s="6" t="s">
        <v>28</v>
      </c>
      <c r="G25" s="6" t="s">
        <v>18</v>
      </c>
      <c r="H25" s="7">
        <v>44946.0</v>
      </c>
      <c r="I25" s="8">
        <v>99.0</v>
      </c>
      <c r="J25" s="8">
        <v>309.79</v>
      </c>
      <c r="K25" s="8">
        <v>289.13</v>
      </c>
      <c r="L25" s="29">
        <f t="shared" si="1"/>
        <v>30669.21</v>
      </c>
    </row>
    <row r="26">
      <c r="B26" s="6" t="s">
        <v>60</v>
      </c>
      <c r="C26" s="6" t="s">
        <v>61</v>
      </c>
      <c r="D26" s="6" t="s">
        <v>15</v>
      </c>
      <c r="E26" s="6" t="s">
        <v>55</v>
      </c>
      <c r="F26" s="6" t="s">
        <v>28</v>
      </c>
      <c r="G26" s="6" t="s">
        <v>33</v>
      </c>
      <c r="H26" s="7">
        <v>44947.0</v>
      </c>
      <c r="I26" s="8">
        <v>411.0</v>
      </c>
      <c r="J26" s="8">
        <v>167.86</v>
      </c>
      <c r="K26" s="8">
        <v>58.23</v>
      </c>
      <c r="L26" s="29">
        <f t="shared" si="1"/>
        <v>68990.46</v>
      </c>
    </row>
    <row r="27">
      <c r="B27" s="6" t="s">
        <v>62</v>
      </c>
      <c r="C27" s="6" t="s">
        <v>26</v>
      </c>
      <c r="D27" s="6" t="s">
        <v>63</v>
      </c>
      <c r="E27" s="6" t="s">
        <v>22</v>
      </c>
      <c r="F27" s="6" t="s">
        <v>28</v>
      </c>
      <c r="G27" s="6" t="s">
        <v>18</v>
      </c>
      <c r="H27" s="7">
        <v>44948.0</v>
      </c>
      <c r="I27" s="8">
        <v>463.0</v>
      </c>
      <c r="J27" s="8">
        <v>237.74</v>
      </c>
      <c r="K27" s="8">
        <v>86.37</v>
      </c>
      <c r="L27" s="29">
        <f t="shared" si="1"/>
        <v>110073.62</v>
      </c>
    </row>
    <row r="28">
      <c r="B28" s="6" t="s">
        <v>64</v>
      </c>
      <c r="C28" s="6" t="s">
        <v>61</v>
      </c>
      <c r="D28" s="6" t="s">
        <v>63</v>
      </c>
      <c r="E28" s="6" t="s">
        <v>55</v>
      </c>
      <c r="F28" s="6" t="s">
        <v>17</v>
      </c>
      <c r="G28" s="6" t="s">
        <v>23</v>
      </c>
      <c r="H28" s="7">
        <v>44949.0</v>
      </c>
      <c r="I28" s="8">
        <v>46.0</v>
      </c>
      <c r="J28" s="8">
        <v>373.42</v>
      </c>
      <c r="K28" s="8">
        <v>327.86</v>
      </c>
      <c r="L28" s="29">
        <f t="shared" si="1"/>
        <v>17177.32</v>
      </c>
    </row>
    <row r="29">
      <c r="B29" s="6" t="s">
        <v>65</v>
      </c>
      <c r="C29" s="6" t="s">
        <v>20</v>
      </c>
      <c r="D29" s="6" t="s">
        <v>39</v>
      </c>
      <c r="E29" s="6" t="s">
        <v>55</v>
      </c>
      <c r="F29" s="6" t="s">
        <v>28</v>
      </c>
      <c r="G29" s="6" t="s">
        <v>33</v>
      </c>
      <c r="H29" s="7">
        <v>44950.0</v>
      </c>
      <c r="I29" s="8">
        <v>325.0</v>
      </c>
      <c r="J29" s="8">
        <v>436.56</v>
      </c>
      <c r="K29" s="8">
        <v>130.37</v>
      </c>
      <c r="L29" s="29">
        <f t="shared" si="1"/>
        <v>141882</v>
      </c>
    </row>
    <row r="30">
      <c r="B30" s="6" t="s">
        <v>66</v>
      </c>
      <c r="C30" s="6" t="s">
        <v>20</v>
      </c>
      <c r="D30" s="6" t="s">
        <v>21</v>
      </c>
      <c r="E30" s="6"/>
      <c r="F30" s="6" t="s">
        <v>28</v>
      </c>
      <c r="G30" s="6" t="s">
        <v>33</v>
      </c>
      <c r="H30" s="7">
        <v>44951.0</v>
      </c>
      <c r="I30" s="8">
        <v>185.0</v>
      </c>
      <c r="J30" s="8">
        <v>219.66</v>
      </c>
      <c r="K30" s="8">
        <v>11.11</v>
      </c>
      <c r="L30" s="29">
        <f t="shared" si="1"/>
        <v>40637.1</v>
      </c>
    </row>
    <row r="31">
      <c r="B31" s="6" t="s">
        <v>67</v>
      </c>
      <c r="C31" s="6" t="s">
        <v>61</v>
      </c>
      <c r="D31" s="6" t="s">
        <v>21</v>
      </c>
      <c r="E31" s="6" t="s">
        <v>16</v>
      </c>
      <c r="F31" s="6" t="s">
        <v>28</v>
      </c>
      <c r="G31" s="6" t="s">
        <v>18</v>
      </c>
      <c r="H31" s="7">
        <v>44952.0</v>
      </c>
      <c r="I31" s="8">
        <v>470.0</v>
      </c>
      <c r="J31" s="8">
        <v>26.61</v>
      </c>
      <c r="K31" s="8">
        <v>63.21</v>
      </c>
      <c r="L31" s="29">
        <f t="shared" si="1"/>
        <v>12506.7</v>
      </c>
    </row>
    <row r="32">
      <c r="B32" s="6" t="s">
        <v>68</v>
      </c>
      <c r="C32" s="6" t="s">
        <v>61</v>
      </c>
      <c r="D32" s="6" t="s">
        <v>39</v>
      </c>
      <c r="E32" s="6" t="s">
        <v>32</v>
      </c>
      <c r="F32" s="6" t="s">
        <v>17</v>
      </c>
      <c r="G32" s="6" t="s">
        <v>33</v>
      </c>
      <c r="H32" s="7">
        <v>44953.0</v>
      </c>
      <c r="I32" s="8">
        <v>293.0</v>
      </c>
      <c r="J32" s="8">
        <v>85.03</v>
      </c>
      <c r="K32" s="8">
        <v>91.0</v>
      </c>
      <c r="L32" s="29">
        <f t="shared" si="1"/>
        <v>24913.79</v>
      </c>
    </row>
    <row r="33">
      <c r="B33" s="6" t="s">
        <v>69</v>
      </c>
      <c r="C33" s="6" t="s">
        <v>61</v>
      </c>
      <c r="D33" s="6" t="s">
        <v>39</v>
      </c>
      <c r="E33" s="6" t="s">
        <v>22</v>
      </c>
      <c r="F33" s="6" t="s">
        <v>17</v>
      </c>
      <c r="G33" s="6" t="s">
        <v>33</v>
      </c>
      <c r="H33" s="7">
        <v>44954.0</v>
      </c>
      <c r="I33" s="8">
        <v>462.0</v>
      </c>
      <c r="J33" s="6"/>
      <c r="K33" s="8">
        <v>383.01</v>
      </c>
      <c r="L33" s="29">
        <f t="shared" si="1"/>
        <v>0</v>
      </c>
    </row>
    <row r="34">
      <c r="B34" s="6" t="s">
        <v>70</v>
      </c>
      <c r="C34" s="6" t="s">
        <v>20</v>
      </c>
      <c r="D34" s="6" t="s">
        <v>39</v>
      </c>
      <c r="E34" s="6" t="s">
        <v>16</v>
      </c>
      <c r="F34" s="6" t="s">
        <v>28</v>
      </c>
      <c r="G34" s="6" t="s">
        <v>23</v>
      </c>
      <c r="H34" s="7">
        <v>44955.0</v>
      </c>
      <c r="I34" s="8">
        <v>470.0</v>
      </c>
      <c r="J34" s="8">
        <v>328.37</v>
      </c>
      <c r="K34" s="8">
        <v>230.07</v>
      </c>
      <c r="L34" s="29">
        <f t="shared" si="1"/>
        <v>154333.9</v>
      </c>
    </row>
    <row r="35">
      <c r="B35" s="6" t="s">
        <v>71</v>
      </c>
      <c r="C35" s="6" t="s">
        <v>20</v>
      </c>
      <c r="D35" s="6" t="s">
        <v>15</v>
      </c>
      <c r="E35" s="6" t="s">
        <v>16</v>
      </c>
      <c r="F35" s="6" t="s">
        <v>17</v>
      </c>
      <c r="G35" s="6" t="s">
        <v>33</v>
      </c>
      <c r="H35" s="7">
        <v>44956.0</v>
      </c>
      <c r="I35" s="8">
        <v>90.0</v>
      </c>
      <c r="J35" s="8">
        <v>169.5</v>
      </c>
      <c r="K35" s="8">
        <v>373.23</v>
      </c>
      <c r="L35" s="29">
        <f t="shared" si="1"/>
        <v>15255</v>
      </c>
    </row>
    <row r="36">
      <c r="B36" s="6" t="s">
        <v>72</v>
      </c>
      <c r="C36" s="6"/>
      <c r="D36" s="6" t="s">
        <v>21</v>
      </c>
      <c r="E36" s="6" t="s">
        <v>16</v>
      </c>
      <c r="F36" s="6" t="s">
        <v>17</v>
      </c>
      <c r="G36" s="6" t="s">
        <v>23</v>
      </c>
      <c r="H36" s="7">
        <v>44957.0</v>
      </c>
      <c r="I36" s="8">
        <v>123.0</v>
      </c>
      <c r="J36" s="8">
        <v>273.53</v>
      </c>
      <c r="K36" s="8">
        <v>230.92</v>
      </c>
      <c r="L36" s="29">
        <f t="shared" si="1"/>
        <v>33644.19</v>
      </c>
    </row>
    <row r="37">
      <c r="B37" s="6" t="s">
        <v>73</v>
      </c>
      <c r="C37" s="6" t="s">
        <v>26</v>
      </c>
      <c r="D37" s="6" t="s">
        <v>15</v>
      </c>
      <c r="E37" s="6" t="s">
        <v>16</v>
      </c>
      <c r="F37" s="6" t="s">
        <v>17</v>
      </c>
      <c r="G37" s="6" t="s">
        <v>18</v>
      </c>
      <c r="H37" s="7">
        <v>44958.0</v>
      </c>
      <c r="I37" s="8">
        <v>49.0</v>
      </c>
      <c r="J37" s="8">
        <v>249.17</v>
      </c>
      <c r="K37" s="8">
        <v>192.78</v>
      </c>
      <c r="L37" s="29">
        <f t="shared" si="1"/>
        <v>12209.33</v>
      </c>
    </row>
    <row r="38">
      <c r="B38" s="6" t="s">
        <v>74</v>
      </c>
      <c r="C38" s="6" t="s">
        <v>20</v>
      </c>
      <c r="D38" s="6" t="s">
        <v>39</v>
      </c>
      <c r="E38" s="6" t="s">
        <v>16</v>
      </c>
      <c r="F38" s="6" t="s">
        <v>17</v>
      </c>
      <c r="G38" s="6" t="s">
        <v>33</v>
      </c>
      <c r="H38" s="7">
        <v>44959.0</v>
      </c>
      <c r="I38" s="8">
        <v>310.0</v>
      </c>
      <c r="J38" s="8">
        <v>45.36</v>
      </c>
      <c r="K38" s="8">
        <v>126.86</v>
      </c>
      <c r="L38" s="29">
        <f t="shared" si="1"/>
        <v>14061.6</v>
      </c>
    </row>
    <row r="39">
      <c r="B39" s="6" t="s">
        <v>75</v>
      </c>
      <c r="C39" s="6" t="s">
        <v>61</v>
      </c>
      <c r="D39" s="6" t="s">
        <v>21</v>
      </c>
      <c r="E39" s="6" t="s">
        <v>27</v>
      </c>
      <c r="F39" s="6" t="s">
        <v>17</v>
      </c>
      <c r="G39" s="6" t="s">
        <v>23</v>
      </c>
      <c r="H39" s="7">
        <v>44960.0</v>
      </c>
      <c r="I39" s="8">
        <v>233.0</v>
      </c>
      <c r="J39" s="8">
        <v>204.61</v>
      </c>
      <c r="K39" s="8">
        <v>243.34</v>
      </c>
      <c r="L39" s="29">
        <f t="shared" si="1"/>
        <v>47674.13</v>
      </c>
    </row>
    <row r="40">
      <c r="B40" s="6" t="s">
        <v>76</v>
      </c>
      <c r="C40" s="6" t="s">
        <v>61</v>
      </c>
      <c r="D40" s="6" t="s">
        <v>15</v>
      </c>
      <c r="E40" s="6" t="s">
        <v>22</v>
      </c>
      <c r="F40" s="6" t="s">
        <v>17</v>
      </c>
      <c r="G40" s="6" t="s">
        <v>18</v>
      </c>
      <c r="H40" s="7">
        <v>44961.0</v>
      </c>
      <c r="I40" s="8">
        <v>327.0</v>
      </c>
      <c r="J40" s="8">
        <v>114.18</v>
      </c>
      <c r="K40" s="8">
        <v>57.4</v>
      </c>
      <c r="L40" s="29">
        <f t="shared" si="1"/>
        <v>37336.86</v>
      </c>
    </row>
    <row r="41">
      <c r="B41" s="6" t="s">
        <v>77</v>
      </c>
      <c r="C41" s="6" t="s">
        <v>26</v>
      </c>
      <c r="D41" s="6" t="s">
        <v>15</v>
      </c>
      <c r="E41" s="6" t="s">
        <v>16</v>
      </c>
      <c r="F41" s="6" t="s">
        <v>17</v>
      </c>
      <c r="G41" s="6" t="s">
        <v>33</v>
      </c>
      <c r="H41" s="7">
        <v>44962.0</v>
      </c>
      <c r="I41" s="8">
        <v>358.0</v>
      </c>
      <c r="J41" s="8">
        <v>212.11</v>
      </c>
      <c r="K41" s="8">
        <v>359.51</v>
      </c>
      <c r="L41" s="29">
        <f t="shared" si="1"/>
        <v>75935.38</v>
      </c>
    </row>
    <row r="42">
      <c r="B42" s="6" t="s">
        <v>78</v>
      </c>
      <c r="C42" s="6" t="s">
        <v>20</v>
      </c>
      <c r="D42" s="6" t="s">
        <v>39</v>
      </c>
      <c r="E42" s="6" t="s">
        <v>22</v>
      </c>
      <c r="F42" s="6" t="s">
        <v>17</v>
      </c>
      <c r="G42" s="6" t="s">
        <v>18</v>
      </c>
      <c r="H42" s="7">
        <v>44963.0</v>
      </c>
      <c r="I42" s="8">
        <v>124.0</v>
      </c>
      <c r="J42" s="6"/>
      <c r="K42" s="8">
        <v>332.07</v>
      </c>
      <c r="L42" s="29">
        <f t="shared" si="1"/>
        <v>0</v>
      </c>
    </row>
    <row r="43">
      <c r="B43" s="6" t="s">
        <v>79</v>
      </c>
      <c r="C43" s="6" t="s">
        <v>26</v>
      </c>
      <c r="D43" s="6" t="s">
        <v>21</v>
      </c>
      <c r="E43" s="6" t="s">
        <v>27</v>
      </c>
      <c r="F43" s="6" t="s">
        <v>17</v>
      </c>
      <c r="G43" s="6" t="s">
        <v>33</v>
      </c>
      <c r="H43" s="7">
        <v>44964.0</v>
      </c>
      <c r="I43" s="8">
        <v>195.0</v>
      </c>
      <c r="J43" s="8">
        <v>421.02</v>
      </c>
      <c r="K43" s="8">
        <v>128.38</v>
      </c>
      <c r="L43" s="29">
        <f t="shared" si="1"/>
        <v>82098.9</v>
      </c>
    </row>
    <row r="44">
      <c r="B44" s="6" t="s">
        <v>80</v>
      </c>
      <c r="C44" s="6" t="s">
        <v>26</v>
      </c>
      <c r="D44" s="6" t="s">
        <v>39</v>
      </c>
      <c r="E44" s="6" t="s">
        <v>27</v>
      </c>
      <c r="F44" s="6" t="s">
        <v>17</v>
      </c>
      <c r="G44" s="6" t="s">
        <v>18</v>
      </c>
      <c r="H44" s="7">
        <v>44965.0</v>
      </c>
      <c r="I44" s="6"/>
      <c r="J44" s="8">
        <v>91.23</v>
      </c>
      <c r="K44" s="8">
        <v>381.21</v>
      </c>
      <c r="L44" s="29">
        <f t="shared" si="1"/>
        <v>0</v>
      </c>
    </row>
    <row r="45">
      <c r="B45" s="6" t="s">
        <v>81</v>
      </c>
      <c r="C45" s="6" t="s">
        <v>14</v>
      </c>
      <c r="D45" s="6" t="s">
        <v>21</v>
      </c>
      <c r="E45" s="6" t="s">
        <v>22</v>
      </c>
      <c r="F45" s="6" t="s">
        <v>28</v>
      </c>
      <c r="G45" s="6" t="s">
        <v>18</v>
      </c>
      <c r="H45" s="7">
        <v>44966.0</v>
      </c>
      <c r="I45" s="8">
        <v>65.0</v>
      </c>
      <c r="J45" s="8">
        <v>480.59</v>
      </c>
      <c r="K45" s="8">
        <v>330.43</v>
      </c>
      <c r="L45" s="29">
        <f t="shared" si="1"/>
        <v>31238.35</v>
      </c>
    </row>
    <row r="46">
      <c r="B46" s="6" t="s">
        <v>82</v>
      </c>
      <c r="C46" s="6" t="s">
        <v>14</v>
      </c>
      <c r="D46" s="6" t="s">
        <v>63</v>
      </c>
      <c r="E46" s="6" t="s">
        <v>55</v>
      </c>
      <c r="F46" s="6" t="s">
        <v>28</v>
      </c>
      <c r="G46" s="6" t="s">
        <v>23</v>
      </c>
      <c r="H46" s="7">
        <v>44967.0</v>
      </c>
      <c r="I46" s="8">
        <v>49.0</v>
      </c>
      <c r="J46" s="8">
        <v>210.87</v>
      </c>
      <c r="K46" s="8">
        <v>267.19</v>
      </c>
      <c r="L46" s="29">
        <f t="shared" si="1"/>
        <v>10332.63</v>
      </c>
    </row>
    <row r="47">
      <c r="B47" s="6" t="s">
        <v>83</v>
      </c>
      <c r="C47" s="6" t="s">
        <v>14</v>
      </c>
      <c r="D47" s="6" t="s">
        <v>31</v>
      </c>
      <c r="E47" s="6" t="s">
        <v>32</v>
      </c>
      <c r="F47" s="6" t="s">
        <v>17</v>
      </c>
      <c r="G47" s="6" t="s">
        <v>18</v>
      </c>
      <c r="H47" s="7">
        <v>44968.0</v>
      </c>
      <c r="I47" s="8">
        <v>363.0</v>
      </c>
      <c r="J47" s="8">
        <v>423.89</v>
      </c>
      <c r="K47" s="8">
        <v>50.46</v>
      </c>
      <c r="L47" s="29">
        <f t="shared" si="1"/>
        <v>153872.07</v>
      </c>
    </row>
    <row r="48">
      <c r="B48" s="6" t="s">
        <v>84</v>
      </c>
      <c r="C48" s="6" t="s">
        <v>61</v>
      </c>
      <c r="D48" s="6" t="s">
        <v>31</v>
      </c>
      <c r="E48" s="6" t="s">
        <v>55</v>
      </c>
      <c r="F48" s="6" t="s">
        <v>28</v>
      </c>
      <c r="G48" s="6" t="s">
        <v>33</v>
      </c>
      <c r="H48" s="7">
        <v>44969.0</v>
      </c>
      <c r="I48" s="8">
        <v>49.0</v>
      </c>
      <c r="J48" s="8">
        <v>316.24</v>
      </c>
      <c r="K48" s="8">
        <v>192.34</v>
      </c>
      <c r="L48" s="29">
        <f t="shared" si="1"/>
        <v>15495.76</v>
      </c>
    </row>
    <row r="49">
      <c r="B49" s="6" t="s">
        <v>85</v>
      </c>
      <c r="C49" s="6" t="s">
        <v>20</v>
      </c>
      <c r="D49" s="6" t="s">
        <v>31</v>
      </c>
      <c r="E49" s="6" t="s">
        <v>55</v>
      </c>
      <c r="F49" s="6" t="s">
        <v>28</v>
      </c>
      <c r="G49" s="6" t="s">
        <v>33</v>
      </c>
      <c r="H49" s="7">
        <v>44970.0</v>
      </c>
      <c r="I49" s="8">
        <v>356.0</v>
      </c>
      <c r="J49" s="8">
        <v>369.0</v>
      </c>
      <c r="K49" s="8">
        <v>203.43</v>
      </c>
      <c r="L49" s="29">
        <f t="shared" si="1"/>
        <v>131364</v>
      </c>
    </row>
    <row r="50">
      <c r="B50" s="6" t="s">
        <v>86</v>
      </c>
      <c r="C50" s="6" t="s">
        <v>20</v>
      </c>
      <c r="D50" s="6" t="s">
        <v>39</v>
      </c>
      <c r="E50" s="6" t="s">
        <v>55</v>
      </c>
      <c r="F50" s="6" t="s">
        <v>17</v>
      </c>
      <c r="G50" s="6" t="s">
        <v>23</v>
      </c>
      <c r="H50" s="7">
        <v>44971.0</v>
      </c>
      <c r="I50" s="8">
        <v>470.0</v>
      </c>
      <c r="J50" s="6"/>
      <c r="K50" s="8">
        <v>94.56</v>
      </c>
      <c r="L50" s="29">
        <f t="shared" si="1"/>
        <v>0</v>
      </c>
    </row>
    <row r="51">
      <c r="B51" s="6" t="s">
        <v>87</v>
      </c>
      <c r="C51" s="6" t="s">
        <v>20</v>
      </c>
      <c r="D51" s="6" t="s">
        <v>63</v>
      </c>
      <c r="E51" s="6" t="s">
        <v>16</v>
      </c>
      <c r="F51" s="6" t="s">
        <v>17</v>
      </c>
      <c r="G51" s="6" t="s">
        <v>33</v>
      </c>
      <c r="H51" s="7">
        <v>44972.0</v>
      </c>
      <c r="I51" s="8">
        <v>246.0</v>
      </c>
      <c r="J51" s="8">
        <v>254.9</v>
      </c>
      <c r="K51" s="8">
        <v>33.83</v>
      </c>
      <c r="L51" s="29">
        <f t="shared" si="1"/>
        <v>62705.4</v>
      </c>
    </row>
    <row r="52">
      <c r="B52" s="6" t="s">
        <v>88</v>
      </c>
      <c r="C52" s="6" t="s">
        <v>20</v>
      </c>
      <c r="D52" s="6" t="s">
        <v>21</v>
      </c>
      <c r="E52" s="6" t="s">
        <v>27</v>
      </c>
      <c r="F52" s="6" t="s">
        <v>17</v>
      </c>
      <c r="G52" s="6" t="s">
        <v>33</v>
      </c>
      <c r="H52" s="7">
        <v>44973.0</v>
      </c>
      <c r="I52" s="8">
        <v>298.0</v>
      </c>
      <c r="J52" s="8">
        <v>273.93</v>
      </c>
      <c r="K52" s="8">
        <v>311.14</v>
      </c>
      <c r="L52" s="29">
        <f t="shared" si="1"/>
        <v>81631.14</v>
      </c>
    </row>
    <row r="53">
      <c r="B53" s="6" t="s">
        <v>89</v>
      </c>
      <c r="C53" s="6" t="s">
        <v>14</v>
      </c>
      <c r="D53" s="6" t="s">
        <v>15</v>
      </c>
      <c r="E53" s="6" t="s">
        <v>55</v>
      </c>
      <c r="F53" s="6" t="s">
        <v>28</v>
      </c>
      <c r="G53" s="6" t="s">
        <v>33</v>
      </c>
      <c r="H53" s="7">
        <v>44974.0</v>
      </c>
      <c r="I53" s="8">
        <v>271.0</v>
      </c>
      <c r="J53" s="8">
        <v>259.43</v>
      </c>
      <c r="K53" s="8">
        <v>50.57</v>
      </c>
      <c r="L53" s="29">
        <f t="shared" si="1"/>
        <v>70305.53</v>
      </c>
    </row>
    <row r="54">
      <c r="B54" s="6" t="s">
        <v>90</v>
      </c>
      <c r="C54" s="6" t="s">
        <v>61</v>
      </c>
      <c r="D54" s="6" t="s">
        <v>21</v>
      </c>
      <c r="E54" s="6" t="s">
        <v>27</v>
      </c>
      <c r="F54" s="6" t="s">
        <v>28</v>
      </c>
      <c r="G54" s="6" t="s">
        <v>18</v>
      </c>
      <c r="H54" s="7">
        <v>44975.0</v>
      </c>
      <c r="I54" s="8">
        <v>225.0</v>
      </c>
      <c r="J54" s="8">
        <v>296.09</v>
      </c>
      <c r="K54" s="8">
        <v>238.53</v>
      </c>
      <c r="L54" s="29">
        <f t="shared" si="1"/>
        <v>66620.25</v>
      </c>
    </row>
    <row r="55">
      <c r="B55" s="6" t="s">
        <v>91</v>
      </c>
      <c r="C55" s="6"/>
      <c r="D55" s="6" t="s">
        <v>15</v>
      </c>
      <c r="E55" s="6" t="s">
        <v>22</v>
      </c>
      <c r="F55" s="6" t="s">
        <v>17</v>
      </c>
      <c r="G55" s="6" t="s">
        <v>18</v>
      </c>
      <c r="H55" s="7">
        <v>44976.0</v>
      </c>
      <c r="I55" s="8">
        <v>156.0</v>
      </c>
      <c r="J55" s="8">
        <v>19.55</v>
      </c>
      <c r="K55" s="8">
        <v>374.71</v>
      </c>
      <c r="L55" s="29">
        <f t="shared" si="1"/>
        <v>3049.8</v>
      </c>
    </row>
    <row r="56">
      <c r="B56" s="6" t="s">
        <v>92</v>
      </c>
      <c r="C56" s="6" t="s">
        <v>14</v>
      </c>
      <c r="D56" s="6" t="s">
        <v>21</v>
      </c>
      <c r="E56" s="6" t="s">
        <v>32</v>
      </c>
      <c r="F56" s="6" t="s">
        <v>17</v>
      </c>
      <c r="G56" s="6" t="s">
        <v>33</v>
      </c>
      <c r="H56" s="7">
        <v>44977.0</v>
      </c>
      <c r="I56" s="8">
        <v>345.0</v>
      </c>
      <c r="J56" s="8">
        <v>200.78</v>
      </c>
      <c r="K56" s="8">
        <v>350.69</v>
      </c>
      <c r="L56" s="29">
        <f t="shared" si="1"/>
        <v>69269.1</v>
      </c>
    </row>
    <row r="57">
      <c r="B57" s="6" t="s">
        <v>93</v>
      </c>
      <c r="C57" s="6" t="s">
        <v>61</v>
      </c>
      <c r="D57" s="6" t="s">
        <v>63</v>
      </c>
      <c r="E57" s="6" t="s">
        <v>22</v>
      </c>
      <c r="F57" s="6" t="s">
        <v>17</v>
      </c>
      <c r="G57" s="6" t="s">
        <v>23</v>
      </c>
      <c r="H57" s="7">
        <v>44978.0</v>
      </c>
      <c r="I57" s="8">
        <v>177.0</v>
      </c>
      <c r="J57" s="8">
        <v>305.06</v>
      </c>
      <c r="K57" s="8">
        <v>112.55</v>
      </c>
      <c r="L57" s="29">
        <f t="shared" si="1"/>
        <v>53995.62</v>
      </c>
    </row>
    <row r="58">
      <c r="B58" s="6" t="s">
        <v>94</v>
      </c>
      <c r="C58" s="6" t="s">
        <v>14</v>
      </c>
      <c r="D58" s="6" t="s">
        <v>15</v>
      </c>
      <c r="E58" s="6" t="s">
        <v>22</v>
      </c>
      <c r="F58" s="6" t="s">
        <v>28</v>
      </c>
      <c r="G58" s="6" t="s">
        <v>18</v>
      </c>
      <c r="H58" s="7">
        <v>44979.0</v>
      </c>
      <c r="I58" s="8">
        <v>101.0</v>
      </c>
      <c r="J58" s="8">
        <v>300.87</v>
      </c>
      <c r="K58" s="8">
        <v>340.88</v>
      </c>
      <c r="L58" s="29">
        <f t="shared" si="1"/>
        <v>30387.87</v>
      </c>
    </row>
    <row r="59">
      <c r="B59" s="6" t="s">
        <v>95</v>
      </c>
      <c r="C59" s="6" t="s">
        <v>20</v>
      </c>
      <c r="D59" s="6" t="s">
        <v>39</v>
      </c>
      <c r="E59" s="6" t="s">
        <v>16</v>
      </c>
      <c r="F59" s="6" t="s">
        <v>28</v>
      </c>
      <c r="G59" s="6" t="s">
        <v>23</v>
      </c>
      <c r="H59" s="7">
        <v>44980.0</v>
      </c>
      <c r="I59" s="8">
        <v>362.0</v>
      </c>
      <c r="J59" s="8">
        <v>397.51</v>
      </c>
      <c r="K59" s="8">
        <v>2.13</v>
      </c>
      <c r="L59" s="29">
        <f t="shared" si="1"/>
        <v>143898.62</v>
      </c>
    </row>
    <row r="60">
      <c r="B60" s="6" t="s">
        <v>96</v>
      </c>
      <c r="C60" s="6" t="s">
        <v>14</v>
      </c>
      <c r="D60" s="6" t="s">
        <v>21</v>
      </c>
      <c r="E60" s="6" t="s">
        <v>32</v>
      </c>
      <c r="F60" s="6" t="s">
        <v>28</v>
      </c>
      <c r="G60" s="6" t="s">
        <v>33</v>
      </c>
      <c r="H60" s="7">
        <v>44981.0</v>
      </c>
      <c r="I60" s="8">
        <v>68.0</v>
      </c>
      <c r="J60" s="8">
        <v>329.23</v>
      </c>
      <c r="K60" s="8">
        <v>9.04</v>
      </c>
      <c r="L60" s="29">
        <f t="shared" si="1"/>
        <v>22387.64</v>
      </c>
    </row>
    <row r="61">
      <c r="B61" s="6" t="s">
        <v>97</v>
      </c>
      <c r="C61" s="6" t="s">
        <v>20</v>
      </c>
      <c r="D61" s="6" t="s">
        <v>21</v>
      </c>
      <c r="E61" s="6" t="s">
        <v>22</v>
      </c>
      <c r="F61" s="6" t="s">
        <v>28</v>
      </c>
      <c r="G61" s="6" t="s">
        <v>33</v>
      </c>
      <c r="H61" s="7">
        <v>44982.0</v>
      </c>
      <c r="I61" s="8">
        <v>68.0</v>
      </c>
      <c r="J61" s="8">
        <v>496.11</v>
      </c>
      <c r="K61" s="8">
        <v>241.82</v>
      </c>
      <c r="L61" s="29">
        <f t="shared" si="1"/>
        <v>33735.48</v>
      </c>
    </row>
    <row r="62">
      <c r="B62" s="6" t="s">
        <v>98</v>
      </c>
      <c r="C62" s="6" t="s">
        <v>20</v>
      </c>
      <c r="D62" s="6" t="s">
        <v>15</v>
      </c>
      <c r="E62" s="6" t="s">
        <v>22</v>
      </c>
      <c r="F62" s="6" t="s">
        <v>17</v>
      </c>
      <c r="G62" s="6" t="s">
        <v>18</v>
      </c>
      <c r="H62" s="7">
        <v>44983.0</v>
      </c>
      <c r="I62" s="8">
        <v>313.0</v>
      </c>
      <c r="J62" s="8">
        <v>145.51</v>
      </c>
      <c r="K62" s="8">
        <v>147.19</v>
      </c>
      <c r="L62" s="29">
        <f t="shared" si="1"/>
        <v>45544.63</v>
      </c>
    </row>
    <row r="63">
      <c r="B63" s="6" t="s">
        <v>99</v>
      </c>
      <c r="C63" s="6" t="s">
        <v>26</v>
      </c>
      <c r="D63" s="6" t="s">
        <v>39</v>
      </c>
      <c r="E63" s="6" t="s">
        <v>32</v>
      </c>
      <c r="F63" s="6" t="s">
        <v>17</v>
      </c>
      <c r="G63" s="6" t="s">
        <v>33</v>
      </c>
      <c r="H63" s="7">
        <v>44984.0</v>
      </c>
      <c r="I63" s="8">
        <v>178.0</v>
      </c>
      <c r="J63" s="8">
        <v>182.78</v>
      </c>
      <c r="K63" s="8">
        <v>155.81</v>
      </c>
      <c r="L63" s="29">
        <f t="shared" si="1"/>
        <v>32534.84</v>
      </c>
    </row>
    <row r="64">
      <c r="B64" s="6" t="s">
        <v>100</v>
      </c>
      <c r="C64" s="6" t="s">
        <v>14</v>
      </c>
      <c r="D64" s="6" t="s">
        <v>39</v>
      </c>
      <c r="E64" s="6" t="s">
        <v>32</v>
      </c>
      <c r="F64" s="6" t="s">
        <v>17</v>
      </c>
      <c r="G64" s="6" t="s">
        <v>18</v>
      </c>
      <c r="H64" s="7">
        <v>44985.0</v>
      </c>
      <c r="I64" s="8">
        <v>278.0</v>
      </c>
      <c r="J64" s="8">
        <v>195.0</v>
      </c>
      <c r="K64" s="8">
        <v>226.65</v>
      </c>
      <c r="L64" s="29">
        <f t="shared" si="1"/>
        <v>54210</v>
      </c>
    </row>
    <row r="65">
      <c r="B65" s="6" t="s">
        <v>101</v>
      </c>
      <c r="C65" s="6" t="s">
        <v>26</v>
      </c>
      <c r="D65" s="6" t="s">
        <v>63</v>
      </c>
      <c r="E65" s="6" t="s">
        <v>22</v>
      </c>
      <c r="F65" s="6" t="s">
        <v>17</v>
      </c>
      <c r="G65" s="6" t="s">
        <v>33</v>
      </c>
      <c r="H65" s="7">
        <v>44986.0</v>
      </c>
      <c r="I65" s="8">
        <v>372.0</v>
      </c>
      <c r="J65" s="8">
        <v>235.58</v>
      </c>
      <c r="K65" s="8">
        <v>78.33</v>
      </c>
      <c r="L65" s="29">
        <f t="shared" si="1"/>
        <v>87635.76</v>
      </c>
    </row>
    <row r="66">
      <c r="B66" s="6" t="s">
        <v>102</v>
      </c>
      <c r="C66" s="6" t="s">
        <v>14</v>
      </c>
      <c r="D66" s="6" t="s">
        <v>39</v>
      </c>
      <c r="E66" s="6" t="s">
        <v>32</v>
      </c>
      <c r="F66" s="6" t="s">
        <v>28</v>
      </c>
      <c r="G66" s="6" t="s">
        <v>33</v>
      </c>
      <c r="H66" s="7">
        <v>44987.0</v>
      </c>
      <c r="I66" s="8">
        <v>54.0</v>
      </c>
      <c r="J66" s="8">
        <v>418.82</v>
      </c>
      <c r="K66" s="8">
        <v>86.28</v>
      </c>
      <c r="L66" s="29">
        <f t="shared" si="1"/>
        <v>22616.28</v>
      </c>
    </row>
    <row r="67">
      <c r="B67" s="6" t="s">
        <v>103</v>
      </c>
      <c r="C67" s="6" t="s">
        <v>14</v>
      </c>
      <c r="D67" s="6" t="s">
        <v>39</v>
      </c>
      <c r="E67" s="6" t="s">
        <v>22</v>
      </c>
      <c r="F67" s="6" t="s">
        <v>28</v>
      </c>
      <c r="G67" s="6" t="s">
        <v>18</v>
      </c>
      <c r="H67" s="7">
        <v>44988.0</v>
      </c>
      <c r="I67" s="8">
        <v>354.0</v>
      </c>
      <c r="J67" s="8">
        <v>121.72</v>
      </c>
      <c r="K67" s="8">
        <v>194.87</v>
      </c>
      <c r="L67" s="29">
        <f t="shared" si="1"/>
        <v>43088.88</v>
      </c>
    </row>
    <row r="68">
      <c r="B68" s="6" t="s">
        <v>104</v>
      </c>
      <c r="C68" s="6" t="s">
        <v>26</v>
      </c>
      <c r="D68" s="6" t="s">
        <v>39</v>
      </c>
      <c r="E68" s="6" t="s">
        <v>22</v>
      </c>
      <c r="F68" s="6" t="s">
        <v>17</v>
      </c>
      <c r="G68" s="6" t="s">
        <v>18</v>
      </c>
      <c r="H68" s="7">
        <v>44989.0</v>
      </c>
      <c r="I68" s="8">
        <v>190.0</v>
      </c>
      <c r="J68" s="8">
        <v>389.12</v>
      </c>
      <c r="K68" s="8">
        <v>302.19</v>
      </c>
      <c r="L68" s="29">
        <f t="shared" si="1"/>
        <v>73932.8</v>
      </c>
    </row>
    <row r="69">
      <c r="B69" s="6" t="s">
        <v>105</v>
      </c>
      <c r="C69" s="6"/>
      <c r="D69" s="6" t="s">
        <v>31</v>
      </c>
      <c r="E69" s="6" t="s">
        <v>16</v>
      </c>
      <c r="F69" s="6" t="s">
        <v>17</v>
      </c>
      <c r="G69" s="6" t="s">
        <v>18</v>
      </c>
      <c r="H69" s="7">
        <v>44990.0</v>
      </c>
      <c r="I69" s="8">
        <v>179.0</v>
      </c>
      <c r="J69" s="8">
        <v>205.63</v>
      </c>
      <c r="K69" s="8">
        <v>248.56</v>
      </c>
      <c r="L69" s="29">
        <f t="shared" si="1"/>
        <v>36807.77</v>
      </c>
    </row>
    <row r="70">
      <c r="B70" s="6" t="s">
        <v>106</v>
      </c>
      <c r="C70" s="6" t="s">
        <v>14</v>
      </c>
      <c r="D70" s="6" t="s">
        <v>63</v>
      </c>
      <c r="E70" s="6" t="s">
        <v>55</v>
      </c>
      <c r="F70" s="6" t="s">
        <v>28</v>
      </c>
      <c r="G70" s="6" t="s">
        <v>33</v>
      </c>
      <c r="H70" s="7">
        <v>44991.0</v>
      </c>
      <c r="I70" s="8">
        <v>365.0</v>
      </c>
      <c r="J70" s="8">
        <v>302.92</v>
      </c>
      <c r="K70" s="8">
        <v>120.35</v>
      </c>
      <c r="L70" s="29">
        <f t="shared" si="1"/>
        <v>110565.8</v>
      </c>
    </row>
    <row r="71">
      <c r="B71" s="6" t="s">
        <v>107</v>
      </c>
      <c r="C71" s="6" t="s">
        <v>61</v>
      </c>
      <c r="D71" s="6" t="s">
        <v>21</v>
      </c>
      <c r="E71" s="6" t="s">
        <v>22</v>
      </c>
      <c r="F71" s="6" t="s">
        <v>17</v>
      </c>
      <c r="G71" s="6" t="s">
        <v>33</v>
      </c>
      <c r="H71" s="7">
        <v>44992.0</v>
      </c>
      <c r="I71" s="8">
        <v>200.0</v>
      </c>
      <c r="J71" s="8">
        <v>318.11</v>
      </c>
      <c r="K71" s="8">
        <v>173.27</v>
      </c>
      <c r="L71" s="29">
        <f t="shared" si="1"/>
        <v>63622</v>
      </c>
    </row>
    <row r="72">
      <c r="B72" s="6" t="s">
        <v>108</v>
      </c>
      <c r="C72" s="6" t="s">
        <v>20</v>
      </c>
      <c r="D72" s="6" t="s">
        <v>15</v>
      </c>
      <c r="E72" s="6" t="s">
        <v>27</v>
      </c>
      <c r="F72" s="6" t="s">
        <v>28</v>
      </c>
      <c r="G72" s="6" t="s">
        <v>23</v>
      </c>
      <c r="H72" s="7">
        <v>44993.0</v>
      </c>
      <c r="I72" s="8">
        <v>164.0</v>
      </c>
      <c r="J72" s="8">
        <v>189.56</v>
      </c>
      <c r="K72" s="8">
        <v>69.92</v>
      </c>
      <c r="L72" s="29">
        <f t="shared" si="1"/>
        <v>31087.84</v>
      </c>
    </row>
    <row r="73">
      <c r="B73" s="6" t="s">
        <v>109</v>
      </c>
      <c r="C73" s="6" t="s">
        <v>26</v>
      </c>
      <c r="D73" s="6" t="s">
        <v>21</v>
      </c>
      <c r="E73" s="6" t="s">
        <v>55</v>
      </c>
      <c r="F73" s="6" t="s">
        <v>17</v>
      </c>
      <c r="G73" s="6" t="s">
        <v>18</v>
      </c>
      <c r="H73" s="7">
        <v>44994.0</v>
      </c>
      <c r="I73" s="8">
        <v>431.0</v>
      </c>
      <c r="J73" s="8">
        <v>258.74</v>
      </c>
      <c r="K73" s="8">
        <v>31.7</v>
      </c>
      <c r="L73" s="29">
        <f t="shared" si="1"/>
        <v>111516.94</v>
      </c>
    </row>
    <row r="74">
      <c r="B74" s="6" t="s">
        <v>110</v>
      </c>
      <c r="C74" s="6" t="s">
        <v>20</v>
      </c>
      <c r="D74" s="6" t="s">
        <v>63</v>
      </c>
      <c r="E74" s="6" t="s">
        <v>55</v>
      </c>
      <c r="F74" s="6" t="s">
        <v>17</v>
      </c>
      <c r="G74" s="6" t="s">
        <v>33</v>
      </c>
      <c r="H74" s="7">
        <v>44995.0</v>
      </c>
      <c r="I74" s="8">
        <v>197.0</v>
      </c>
      <c r="J74" s="8">
        <v>209.45</v>
      </c>
      <c r="K74" s="8">
        <v>313.51</v>
      </c>
      <c r="L74" s="29">
        <f t="shared" si="1"/>
        <v>41261.65</v>
      </c>
    </row>
    <row r="75">
      <c r="B75" s="6" t="s">
        <v>111</v>
      </c>
      <c r="C75" s="6" t="s">
        <v>61</v>
      </c>
      <c r="D75" s="6" t="s">
        <v>15</v>
      </c>
      <c r="E75" s="6" t="s">
        <v>55</v>
      </c>
      <c r="F75" s="6" t="s">
        <v>17</v>
      </c>
      <c r="G75" s="6" t="s">
        <v>33</v>
      </c>
      <c r="H75" s="7">
        <v>44996.0</v>
      </c>
      <c r="I75" s="8">
        <v>16.0</v>
      </c>
      <c r="J75" s="8">
        <v>39.22</v>
      </c>
      <c r="K75" s="8">
        <v>107.62</v>
      </c>
      <c r="L75" s="29">
        <f t="shared" si="1"/>
        <v>627.52</v>
      </c>
    </row>
    <row r="76">
      <c r="B76" s="6" t="s">
        <v>112</v>
      </c>
      <c r="C76" s="6" t="s">
        <v>61</v>
      </c>
      <c r="D76" s="6" t="s">
        <v>63</v>
      </c>
      <c r="E76" s="6" t="s">
        <v>16</v>
      </c>
      <c r="F76" s="6" t="s">
        <v>17</v>
      </c>
      <c r="G76" s="6" t="s">
        <v>18</v>
      </c>
      <c r="H76" s="7">
        <v>44997.0</v>
      </c>
      <c r="I76" s="8">
        <v>142.0</v>
      </c>
      <c r="J76" s="8">
        <v>221.4</v>
      </c>
      <c r="K76" s="8">
        <v>72.75</v>
      </c>
      <c r="L76" s="29">
        <f t="shared" si="1"/>
        <v>31438.8</v>
      </c>
    </row>
    <row r="77">
      <c r="B77" s="6" t="s">
        <v>113</v>
      </c>
      <c r="C77" s="6" t="s">
        <v>61</v>
      </c>
      <c r="D77" s="6" t="s">
        <v>39</v>
      </c>
      <c r="E77" s="6" t="s">
        <v>22</v>
      </c>
      <c r="F77" s="6" t="s">
        <v>17</v>
      </c>
      <c r="G77" s="6" t="s">
        <v>23</v>
      </c>
      <c r="H77" s="7">
        <v>44998.0</v>
      </c>
      <c r="I77" s="8">
        <v>244.0</v>
      </c>
      <c r="J77" s="8">
        <v>53.21</v>
      </c>
      <c r="K77" s="8">
        <v>277.26</v>
      </c>
      <c r="L77" s="29">
        <f t="shared" si="1"/>
        <v>12983.24</v>
      </c>
    </row>
    <row r="78">
      <c r="B78" s="6" t="s">
        <v>114</v>
      </c>
      <c r="C78" s="6" t="s">
        <v>26</v>
      </c>
      <c r="D78" s="6" t="s">
        <v>15</v>
      </c>
      <c r="E78" s="6" t="s">
        <v>16</v>
      </c>
      <c r="F78" s="6" t="s">
        <v>17</v>
      </c>
      <c r="G78" s="6" t="s">
        <v>18</v>
      </c>
      <c r="H78" s="7">
        <v>44999.0</v>
      </c>
      <c r="I78" s="8">
        <v>54.0</v>
      </c>
      <c r="J78" s="8">
        <v>205.49</v>
      </c>
      <c r="K78" s="8">
        <v>247.98</v>
      </c>
      <c r="L78" s="29">
        <f t="shared" si="1"/>
        <v>11096.46</v>
      </c>
    </row>
    <row r="79">
      <c r="B79" s="6" t="s">
        <v>115</v>
      </c>
      <c r="C79" s="6" t="s">
        <v>61</v>
      </c>
      <c r="D79" s="6" t="s">
        <v>39</v>
      </c>
      <c r="E79" s="6" t="s">
        <v>22</v>
      </c>
      <c r="F79" s="6" t="s">
        <v>17</v>
      </c>
      <c r="G79" s="6" t="s">
        <v>23</v>
      </c>
      <c r="H79" s="7">
        <v>45000.0</v>
      </c>
      <c r="I79" s="8">
        <v>323.0</v>
      </c>
      <c r="J79" s="8">
        <v>298.49</v>
      </c>
      <c r="K79" s="8">
        <v>254.01</v>
      </c>
      <c r="L79" s="29">
        <f t="shared" si="1"/>
        <v>96412.27</v>
      </c>
    </row>
    <row r="80">
      <c r="B80" s="6" t="s">
        <v>116</v>
      </c>
      <c r="C80" s="6" t="s">
        <v>26</v>
      </c>
      <c r="D80" s="6" t="s">
        <v>21</v>
      </c>
      <c r="E80" s="6" t="s">
        <v>16</v>
      </c>
      <c r="F80" s="6" t="s">
        <v>28</v>
      </c>
      <c r="G80" s="6" t="s">
        <v>33</v>
      </c>
      <c r="H80" s="7">
        <v>45001.0</v>
      </c>
      <c r="I80" s="8">
        <v>258.0</v>
      </c>
      <c r="J80" s="8">
        <v>291.81</v>
      </c>
      <c r="K80" s="8">
        <v>93.1</v>
      </c>
      <c r="L80" s="29">
        <f t="shared" si="1"/>
        <v>75286.98</v>
      </c>
    </row>
    <row r="81">
      <c r="B81" s="6" t="s">
        <v>117</v>
      </c>
      <c r="C81" s="6" t="s">
        <v>61</v>
      </c>
      <c r="D81" s="6" t="s">
        <v>21</v>
      </c>
      <c r="E81" s="6" t="s">
        <v>16</v>
      </c>
      <c r="F81" s="6" t="s">
        <v>28</v>
      </c>
      <c r="G81" s="6" t="s">
        <v>23</v>
      </c>
      <c r="H81" s="7">
        <v>45002.0</v>
      </c>
      <c r="I81" s="8">
        <v>40.0</v>
      </c>
      <c r="J81" s="8">
        <v>333.0</v>
      </c>
      <c r="K81" s="8">
        <v>94.59</v>
      </c>
      <c r="L81" s="29">
        <f t="shared" si="1"/>
        <v>13320</v>
      </c>
    </row>
    <row r="82">
      <c r="B82" s="6" t="s">
        <v>118</v>
      </c>
      <c r="C82" s="6" t="s">
        <v>20</v>
      </c>
      <c r="D82" s="6" t="s">
        <v>15</v>
      </c>
      <c r="E82" s="6" t="s">
        <v>27</v>
      </c>
      <c r="F82" s="6" t="s">
        <v>28</v>
      </c>
      <c r="G82" s="6" t="s">
        <v>33</v>
      </c>
      <c r="H82" s="7">
        <v>45003.0</v>
      </c>
      <c r="I82" s="8">
        <v>32.0</v>
      </c>
      <c r="J82" s="8">
        <v>52.15</v>
      </c>
      <c r="K82" s="8">
        <v>89.88</v>
      </c>
      <c r="L82" s="29">
        <f t="shared" si="1"/>
        <v>1668.8</v>
      </c>
    </row>
    <row r="83">
      <c r="B83" s="6" t="s">
        <v>119</v>
      </c>
      <c r="C83" s="6" t="s">
        <v>20</v>
      </c>
      <c r="D83" s="6" t="s">
        <v>15</v>
      </c>
      <c r="E83" s="6" t="s">
        <v>16</v>
      </c>
      <c r="F83" s="6" t="s">
        <v>28</v>
      </c>
      <c r="G83" s="6" t="s">
        <v>18</v>
      </c>
      <c r="H83" s="7">
        <v>45004.0</v>
      </c>
      <c r="I83" s="8">
        <v>435.0</v>
      </c>
      <c r="J83" s="8">
        <v>327.8</v>
      </c>
      <c r="K83" s="8">
        <v>71.15</v>
      </c>
      <c r="L83" s="29">
        <f t="shared" si="1"/>
        <v>142593</v>
      </c>
    </row>
    <row r="84">
      <c r="B84" s="6" t="s">
        <v>120</v>
      </c>
      <c r="C84" s="6" t="s">
        <v>14</v>
      </c>
      <c r="D84" s="6" t="s">
        <v>63</v>
      </c>
      <c r="E84" s="6" t="s">
        <v>32</v>
      </c>
      <c r="F84" s="6" t="s">
        <v>28</v>
      </c>
      <c r="G84" s="6" t="s">
        <v>18</v>
      </c>
      <c r="H84" s="7">
        <v>45005.0</v>
      </c>
      <c r="I84" s="8">
        <v>403.0</v>
      </c>
      <c r="J84" s="8">
        <v>159.51</v>
      </c>
      <c r="K84" s="8">
        <v>262.98</v>
      </c>
      <c r="L84" s="29">
        <f t="shared" si="1"/>
        <v>64282.53</v>
      </c>
    </row>
    <row r="85">
      <c r="B85" s="6" t="s">
        <v>121</v>
      </c>
      <c r="C85" s="6" t="s">
        <v>20</v>
      </c>
      <c r="D85" s="6" t="s">
        <v>63</v>
      </c>
      <c r="E85" s="6" t="s">
        <v>27</v>
      </c>
      <c r="F85" s="6" t="s">
        <v>17</v>
      </c>
      <c r="G85" s="6" t="s">
        <v>18</v>
      </c>
      <c r="H85" s="7">
        <v>45006.0</v>
      </c>
      <c r="I85" s="8">
        <v>169.0</v>
      </c>
      <c r="J85" s="6"/>
      <c r="K85" s="8">
        <v>339.51</v>
      </c>
      <c r="L85" s="29">
        <f t="shared" si="1"/>
        <v>0</v>
      </c>
    </row>
    <row r="86">
      <c r="B86" s="6" t="s">
        <v>122</v>
      </c>
      <c r="C86" s="6" t="s">
        <v>14</v>
      </c>
      <c r="D86" s="6" t="s">
        <v>39</v>
      </c>
      <c r="E86" s="6" t="s">
        <v>16</v>
      </c>
      <c r="F86" s="6" t="s">
        <v>17</v>
      </c>
      <c r="G86" s="6" t="s">
        <v>23</v>
      </c>
      <c r="H86" s="7">
        <v>45007.0</v>
      </c>
      <c r="I86" s="8">
        <v>372.0</v>
      </c>
      <c r="J86" s="8">
        <v>429.7</v>
      </c>
      <c r="K86" s="8">
        <v>290.28</v>
      </c>
      <c r="L86" s="29">
        <f t="shared" si="1"/>
        <v>159848.4</v>
      </c>
    </row>
    <row r="87">
      <c r="B87" s="6" t="s">
        <v>123</v>
      </c>
      <c r="C87" s="6" t="s">
        <v>20</v>
      </c>
      <c r="D87" s="6" t="s">
        <v>15</v>
      </c>
      <c r="E87" s="6" t="s">
        <v>55</v>
      </c>
      <c r="F87" s="6" t="s">
        <v>28</v>
      </c>
      <c r="G87" s="6" t="s">
        <v>33</v>
      </c>
      <c r="H87" s="7">
        <v>45008.0</v>
      </c>
      <c r="I87" s="8">
        <v>446.0</v>
      </c>
      <c r="J87" s="8">
        <v>9.47</v>
      </c>
      <c r="K87" s="8">
        <v>317.25</v>
      </c>
      <c r="L87" s="29">
        <f t="shared" si="1"/>
        <v>4223.62</v>
      </c>
    </row>
    <row r="88">
      <c r="B88" s="6" t="s">
        <v>124</v>
      </c>
      <c r="C88" s="6" t="s">
        <v>26</v>
      </c>
      <c r="D88" s="6" t="s">
        <v>21</v>
      </c>
      <c r="E88" s="6" t="s">
        <v>32</v>
      </c>
      <c r="F88" s="6" t="s">
        <v>17</v>
      </c>
      <c r="G88" s="6" t="s">
        <v>18</v>
      </c>
      <c r="H88" s="7">
        <v>45009.0</v>
      </c>
      <c r="I88" s="8">
        <v>167.0</v>
      </c>
      <c r="J88" s="8">
        <v>296.26</v>
      </c>
      <c r="K88" s="8">
        <v>163.11</v>
      </c>
      <c r="L88" s="29">
        <f t="shared" si="1"/>
        <v>49475.42</v>
      </c>
    </row>
    <row r="89">
      <c r="B89" s="6" t="s">
        <v>125</v>
      </c>
      <c r="C89" s="6" t="s">
        <v>20</v>
      </c>
      <c r="D89" s="6" t="s">
        <v>63</v>
      </c>
      <c r="E89" s="6" t="s">
        <v>32</v>
      </c>
      <c r="F89" s="6" t="s">
        <v>28</v>
      </c>
      <c r="G89" s="6" t="s">
        <v>18</v>
      </c>
      <c r="H89" s="7">
        <v>45010.0</v>
      </c>
      <c r="I89" s="8">
        <v>48.0</v>
      </c>
      <c r="J89" s="8">
        <v>301.36</v>
      </c>
      <c r="K89" s="8">
        <v>262.32</v>
      </c>
      <c r="L89" s="29">
        <f t="shared" si="1"/>
        <v>14465.28</v>
      </c>
    </row>
    <row r="90">
      <c r="B90" s="6" t="s">
        <v>126</v>
      </c>
      <c r="C90" s="6" t="s">
        <v>14</v>
      </c>
      <c r="D90" s="6" t="s">
        <v>63</v>
      </c>
      <c r="E90" s="6" t="s">
        <v>32</v>
      </c>
      <c r="F90" s="6" t="s">
        <v>28</v>
      </c>
      <c r="G90" s="6" t="s">
        <v>33</v>
      </c>
      <c r="H90" s="7">
        <v>45011.0</v>
      </c>
      <c r="I90" s="8">
        <v>424.0</v>
      </c>
      <c r="J90" s="8">
        <v>201.35</v>
      </c>
      <c r="K90" s="8">
        <v>142.99</v>
      </c>
      <c r="L90" s="29">
        <f t="shared" si="1"/>
        <v>85372.4</v>
      </c>
    </row>
    <row r="91">
      <c r="B91" s="6" t="s">
        <v>127</v>
      </c>
      <c r="C91" s="6" t="s">
        <v>14</v>
      </c>
      <c r="D91" s="6" t="s">
        <v>21</v>
      </c>
      <c r="E91" s="6" t="s">
        <v>27</v>
      </c>
      <c r="F91" s="6" t="s">
        <v>17</v>
      </c>
      <c r="G91" s="6" t="s">
        <v>18</v>
      </c>
      <c r="H91" s="7">
        <v>45012.0</v>
      </c>
      <c r="I91" s="8">
        <v>91.0</v>
      </c>
      <c r="J91" s="8">
        <v>122.33</v>
      </c>
      <c r="K91" s="8">
        <v>211.15</v>
      </c>
      <c r="L91" s="29">
        <f t="shared" si="1"/>
        <v>11132.03</v>
      </c>
    </row>
    <row r="92">
      <c r="B92" s="6" t="s">
        <v>128</v>
      </c>
      <c r="C92" s="6" t="s">
        <v>61</v>
      </c>
      <c r="D92" s="6" t="s">
        <v>63</v>
      </c>
      <c r="E92" s="6" t="s">
        <v>16</v>
      </c>
      <c r="F92" s="6" t="s">
        <v>17</v>
      </c>
      <c r="G92" s="6" t="s">
        <v>33</v>
      </c>
      <c r="H92" s="7">
        <v>45013.0</v>
      </c>
      <c r="I92" s="8">
        <v>365.0</v>
      </c>
      <c r="J92" s="8">
        <v>121.16</v>
      </c>
      <c r="K92" s="8">
        <v>193.69</v>
      </c>
      <c r="L92" s="29">
        <f t="shared" si="1"/>
        <v>44223.4</v>
      </c>
    </row>
    <row r="93">
      <c r="B93" s="6" t="s">
        <v>129</v>
      </c>
      <c r="C93" s="6" t="s">
        <v>26</v>
      </c>
      <c r="D93" s="6" t="s">
        <v>39</v>
      </c>
      <c r="E93" s="6" t="s">
        <v>16</v>
      </c>
      <c r="F93" s="6" t="s">
        <v>17</v>
      </c>
      <c r="G93" s="6" t="s">
        <v>33</v>
      </c>
      <c r="H93" s="7">
        <v>45014.0</v>
      </c>
      <c r="I93" s="8">
        <v>267.0</v>
      </c>
      <c r="J93" s="8">
        <v>442.44</v>
      </c>
      <c r="K93" s="8">
        <v>72.4</v>
      </c>
      <c r="L93" s="29">
        <f t="shared" si="1"/>
        <v>118131.48</v>
      </c>
    </row>
    <row r="94">
      <c r="B94" s="6" t="s">
        <v>130</v>
      </c>
      <c r="C94" s="6" t="s">
        <v>20</v>
      </c>
      <c r="D94" s="6" t="s">
        <v>15</v>
      </c>
      <c r="E94" s="6" t="s">
        <v>55</v>
      </c>
      <c r="F94" s="6" t="s">
        <v>28</v>
      </c>
      <c r="G94" s="6" t="s">
        <v>33</v>
      </c>
      <c r="H94" s="7">
        <v>45015.0</v>
      </c>
      <c r="I94" s="8">
        <v>215.0</v>
      </c>
      <c r="J94" s="8">
        <v>223.8</v>
      </c>
      <c r="K94" s="8">
        <v>156.06</v>
      </c>
      <c r="L94" s="29">
        <f t="shared" si="1"/>
        <v>48117</v>
      </c>
    </row>
    <row r="95">
      <c r="B95" s="6" t="s">
        <v>131</v>
      </c>
      <c r="C95" s="6" t="s">
        <v>61</v>
      </c>
      <c r="D95" s="6" t="s">
        <v>21</v>
      </c>
      <c r="E95" s="6" t="s">
        <v>55</v>
      </c>
      <c r="F95" s="6" t="s">
        <v>17</v>
      </c>
      <c r="G95" s="6" t="s">
        <v>33</v>
      </c>
      <c r="H95" s="7">
        <v>45016.0</v>
      </c>
      <c r="I95" s="8">
        <v>86.0</v>
      </c>
      <c r="J95" s="8">
        <v>168.79</v>
      </c>
      <c r="K95" s="8">
        <v>385.6</v>
      </c>
      <c r="L95" s="29">
        <f t="shared" si="1"/>
        <v>14515.94</v>
      </c>
    </row>
    <row r="96">
      <c r="B96" s="6" t="s">
        <v>132</v>
      </c>
      <c r="C96" s="6" t="s">
        <v>20</v>
      </c>
      <c r="D96" s="6" t="s">
        <v>15</v>
      </c>
      <c r="E96" s="6" t="s">
        <v>32</v>
      </c>
      <c r="F96" s="6" t="s">
        <v>28</v>
      </c>
      <c r="G96" s="6" t="s">
        <v>33</v>
      </c>
      <c r="H96" s="7">
        <v>45017.0</v>
      </c>
      <c r="I96" s="8">
        <v>486.0</v>
      </c>
      <c r="J96" s="8">
        <v>227.14</v>
      </c>
      <c r="K96" s="8">
        <v>100.93</v>
      </c>
      <c r="L96" s="29">
        <f t="shared" si="1"/>
        <v>110390.04</v>
      </c>
    </row>
    <row r="97">
      <c r="B97" s="6" t="s">
        <v>133</v>
      </c>
      <c r="C97" s="6" t="s">
        <v>20</v>
      </c>
      <c r="D97" s="6" t="s">
        <v>63</v>
      </c>
      <c r="E97" s="6" t="s">
        <v>55</v>
      </c>
      <c r="F97" s="6" t="s">
        <v>28</v>
      </c>
      <c r="G97" s="6" t="s">
        <v>23</v>
      </c>
      <c r="H97" s="7">
        <v>45018.0</v>
      </c>
      <c r="I97" s="8">
        <v>21.0</v>
      </c>
      <c r="J97" s="6"/>
      <c r="K97" s="8">
        <v>55.25</v>
      </c>
      <c r="L97" s="29">
        <f t="shared" si="1"/>
        <v>0</v>
      </c>
    </row>
    <row r="98">
      <c r="B98" s="6" t="s">
        <v>134</v>
      </c>
      <c r="C98" s="6" t="s">
        <v>61</v>
      </c>
      <c r="D98" s="6" t="s">
        <v>63</v>
      </c>
      <c r="E98" s="6" t="s">
        <v>27</v>
      </c>
      <c r="F98" s="6" t="s">
        <v>28</v>
      </c>
      <c r="G98" s="6" t="s">
        <v>18</v>
      </c>
      <c r="H98" s="7">
        <v>45019.0</v>
      </c>
      <c r="I98" s="8">
        <v>304.0</v>
      </c>
      <c r="J98" s="8">
        <v>77.15</v>
      </c>
      <c r="K98" s="8">
        <v>168.6</v>
      </c>
      <c r="L98" s="29">
        <f t="shared" si="1"/>
        <v>23453.6</v>
      </c>
    </row>
    <row r="99">
      <c r="B99" s="6" t="s">
        <v>135</v>
      </c>
      <c r="C99" s="6" t="s">
        <v>61</v>
      </c>
      <c r="D99" s="6" t="s">
        <v>21</v>
      </c>
      <c r="E99" s="6" t="s">
        <v>16</v>
      </c>
      <c r="F99" s="6" t="s">
        <v>17</v>
      </c>
      <c r="G99" s="6" t="s">
        <v>23</v>
      </c>
      <c r="H99" s="7">
        <v>45020.0</v>
      </c>
      <c r="I99" s="8">
        <v>459.0</v>
      </c>
      <c r="J99" s="8">
        <v>227.47</v>
      </c>
      <c r="K99" s="8">
        <v>316.55</v>
      </c>
      <c r="L99" s="29">
        <f t="shared" si="1"/>
        <v>104408.73</v>
      </c>
    </row>
    <row r="100">
      <c r="B100" s="6" t="s">
        <v>136</v>
      </c>
      <c r="C100" s="6" t="s">
        <v>61</v>
      </c>
      <c r="D100" s="6" t="s">
        <v>39</v>
      </c>
      <c r="E100" s="6" t="s">
        <v>32</v>
      </c>
      <c r="F100" s="6" t="s">
        <v>17</v>
      </c>
      <c r="G100" s="6" t="s">
        <v>18</v>
      </c>
      <c r="H100" s="7">
        <v>45021.0</v>
      </c>
      <c r="I100" s="8">
        <v>233.0</v>
      </c>
      <c r="J100" s="8">
        <v>296.0</v>
      </c>
      <c r="K100" s="8">
        <v>233.69</v>
      </c>
      <c r="L100" s="29">
        <f t="shared" si="1"/>
        <v>68968</v>
      </c>
    </row>
    <row r="101">
      <c r="B101" s="6" t="s">
        <v>137</v>
      </c>
      <c r="C101" s="6" t="s">
        <v>61</v>
      </c>
      <c r="D101" s="6" t="s">
        <v>31</v>
      </c>
      <c r="E101" s="6" t="s">
        <v>55</v>
      </c>
      <c r="F101" s="6" t="s">
        <v>28</v>
      </c>
      <c r="G101" s="6" t="s">
        <v>23</v>
      </c>
      <c r="H101" s="7">
        <v>45022.0</v>
      </c>
      <c r="I101" s="8">
        <v>22.0</v>
      </c>
      <c r="J101" s="8">
        <v>474.55</v>
      </c>
      <c r="K101" s="8">
        <v>273.03</v>
      </c>
      <c r="L101" s="29">
        <f t="shared" si="1"/>
        <v>10440.1</v>
      </c>
    </row>
    <row r="102">
      <c r="B102" s="6" t="s">
        <v>138</v>
      </c>
      <c r="C102" s="6" t="s">
        <v>61</v>
      </c>
      <c r="D102" s="6" t="s">
        <v>21</v>
      </c>
      <c r="E102" s="6" t="s">
        <v>27</v>
      </c>
      <c r="F102" s="6" t="s">
        <v>17</v>
      </c>
      <c r="G102" s="6" t="s">
        <v>33</v>
      </c>
      <c r="H102" s="7">
        <v>45023.0</v>
      </c>
      <c r="I102" s="8">
        <v>55.0</v>
      </c>
      <c r="J102" s="8">
        <v>130.0</v>
      </c>
      <c r="K102" s="8">
        <v>77.5</v>
      </c>
      <c r="L102" s="29">
        <f t="shared" si="1"/>
        <v>7150</v>
      </c>
    </row>
    <row r="103">
      <c r="B103" s="6" t="s">
        <v>139</v>
      </c>
      <c r="C103" s="6" t="s">
        <v>20</v>
      </c>
      <c r="D103" s="6" t="s">
        <v>31</v>
      </c>
      <c r="E103" s="6" t="s">
        <v>27</v>
      </c>
      <c r="F103" s="6" t="s">
        <v>17</v>
      </c>
      <c r="G103" s="6" t="s">
        <v>18</v>
      </c>
      <c r="H103" s="7">
        <v>45024.0</v>
      </c>
      <c r="I103" s="8">
        <v>164.0</v>
      </c>
      <c r="J103" s="8">
        <v>182.83</v>
      </c>
      <c r="K103" s="8">
        <v>248.34</v>
      </c>
      <c r="L103" s="29">
        <f t="shared" si="1"/>
        <v>29984.12</v>
      </c>
    </row>
    <row r="104">
      <c r="B104" s="6" t="s">
        <v>140</v>
      </c>
      <c r="C104" s="6" t="s">
        <v>61</v>
      </c>
      <c r="D104" s="6" t="s">
        <v>31</v>
      </c>
      <c r="E104" s="6" t="s">
        <v>55</v>
      </c>
      <c r="F104" s="6" t="s">
        <v>17</v>
      </c>
      <c r="G104" s="6" t="s">
        <v>18</v>
      </c>
      <c r="H104" s="7">
        <v>45025.0</v>
      </c>
      <c r="I104" s="8">
        <v>122.0</v>
      </c>
      <c r="J104" s="8">
        <v>192.78</v>
      </c>
      <c r="K104" s="8">
        <v>130.75</v>
      </c>
      <c r="L104" s="29">
        <f t="shared" si="1"/>
        <v>23519.16</v>
      </c>
    </row>
    <row r="105">
      <c r="B105" s="6" t="s">
        <v>141</v>
      </c>
      <c r="C105" s="6" t="s">
        <v>26</v>
      </c>
      <c r="D105" s="6" t="s">
        <v>39</v>
      </c>
      <c r="E105" s="6" t="s">
        <v>16</v>
      </c>
      <c r="F105" s="6" t="s">
        <v>28</v>
      </c>
      <c r="G105" s="6" t="s">
        <v>23</v>
      </c>
      <c r="H105" s="7">
        <v>45026.0</v>
      </c>
      <c r="I105" s="8">
        <v>242.0</v>
      </c>
      <c r="J105" s="8">
        <v>304.74</v>
      </c>
      <c r="K105" s="8">
        <v>334.05</v>
      </c>
      <c r="L105" s="29">
        <f t="shared" si="1"/>
        <v>73747.08</v>
      </c>
    </row>
    <row r="106">
      <c r="B106" s="6" t="s">
        <v>142</v>
      </c>
      <c r="C106" s="6" t="s">
        <v>14</v>
      </c>
      <c r="D106" s="6" t="s">
        <v>31</v>
      </c>
      <c r="E106" s="6" t="s">
        <v>55</v>
      </c>
      <c r="F106" s="6" t="s">
        <v>28</v>
      </c>
      <c r="G106" s="6" t="s">
        <v>23</v>
      </c>
      <c r="H106" s="7">
        <v>45027.0</v>
      </c>
      <c r="I106" s="8">
        <v>26.0</v>
      </c>
      <c r="J106" s="8">
        <v>181.58</v>
      </c>
      <c r="K106" s="8">
        <v>252.46</v>
      </c>
      <c r="L106" s="29">
        <f t="shared" si="1"/>
        <v>4721.08</v>
      </c>
    </row>
    <row r="107">
      <c r="B107" s="6" t="s">
        <v>143</v>
      </c>
      <c r="C107" s="6" t="s">
        <v>61</v>
      </c>
      <c r="D107" s="6" t="s">
        <v>31</v>
      </c>
      <c r="E107" s="6" t="s">
        <v>32</v>
      </c>
      <c r="F107" s="6" t="s">
        <v>17</v>
      </c>
      <c r="G107" s="6" t="s">
        <v>18</v>
      </c>
      <c r="H107" s="7">
        <v>45028.0</v>
      </c>
      <c r="I107" s="8">
        <v>369.0</v>
      </c>
      <c r="J107" s="8">
        <v>269.09</v>
      </c>
      <c r="K107" s="8">
        <v>81.14</v>
      </c>
      <c r="L107" s="29">
        <f t="shared" si="1"/>
        <v>99294.21</v>
      </c>
    </row>
    <row r="108">
      <c r="B108" s="6" t="s">
        <v>144</v>
      </c>
      <c r="C108" s="6" t="s">
        <v>61</v>
      </c>
      <c r="D108" s="6" t="s">
        <v>39</v>
      </c>
      <c r="E108" s="6" t="s">
        <v>55</v>
      </c>
      <c r="F108" s="6" t="s">
        <v>28</v>
      </c>
      <c r="G108" s="6" t="s">
        <v>23</v>
      </c>
      <c r="H108" s="7">
        <v>45029.0</v>
      </c>
      <c r="I108" s="8">
        <v>232.0</v>
      </c>
      <c r="J108" s="8">
        <v>391.99</v>
      </c>
      <c r="K108" s="8">
        <v>27.72</v>
      </c>
      <c r="L108" s="29">
        <f t="shared" si="1"/>
        <v>90941.68</v>
      </c>
    </row>
    <row r="109">
      <c r="B109" s="6" t="s">
        <v>145</v>
      </c>
      <c r="C109" s="6" t="s">
        <v>20</v>
      </c>
      <c r="D109" s="6" t="s">
        <v>31</v>
      </c>
      <c r="E109" s="6" t="s">
        <v>27</v>
      </c>
      <c r="F109" s="6" t="s">
        <v>17</v>
      </c>
      <c r="G109" s="6" t="s">
        <v>23</v>
      </c>
      <c r="H109" s="7">
        <v>45030.0</v>
      </c>
      <c r="I109" s="8">
        <v>363.0</v>
      </c>
      <c r="J109" s="8">
        <v>354.17</v>
      </c>
      <c r="K109" s="8">
        <v>18.97</v>
      </c>
      <c r="L109" s="29">
        <f t="shared" si="1"/>
        <v>128563.71</v>
      </c>
    </row>
    <row r="110">
      <c r="B110" s="6" t="s">
        <v>146</v>
      </c>
      <c r="C110" s="6" t="s">
        <v>61</v>
      </c>
      <c r="D110" s="6" t="s">
        <v>31</v>
      </c>
      <c r="E110" s="6" t="s">
        <v>55</v>
      </c>
      <c r="F110" s="6" t="s">
        <v>17</v>
      </c>
      <c r="G110" s="6" t="s">
        <v>23</v>
      </c>
      <c r="H110" s="7">
        <v>45031.0</v>
      </c>
      <c r="I110" s="8">
        <v>197.0</v>
      </c>
      <c r="J110" s="8">
        <v>225.95</v>
      </c>
      <c r="K110" s="8">
        <v>149.82</v>
      </c>
      <c r="L110" s="29">
        <f t="shared" si="1"/>
        <v>44512.15</v>
      </c>
    </row>
    <row r="111">
      <c r="B111" s="6" t="s">
        <v>147</v>
      </c>
      <c r="C111" s="6" t="s">
        <v>61</v>
      </c>
      <c r="D111" s="6" t="s">
        <v>31</v>
      </c>
      <c r="E111" s="6" t="s">
        <v>16</v>
      </c>
      <c r="F111" s="6" t="s">
        <v>17</v>
      </c>
      <c r="G111" s="6" t="s">
        <v>33</v>
      </c>
      <c r="H111" s="7">
        <v>45032.0</v>
      </c>
      <c r="I111" s="8">
        <v>457.0</v>
      </c>
      <c r="J111" s="8">
        <v>432.79</v>
      </c>
      <c r="K111" s="8">
        <v>107.81</v>
      </c>
      <c r="L111" s="29">
        <f t="shared" si="1"/>
        <v>197785.03</v>
      </c>
    </row>
    <row r="112">
      <c r="B112" s="6" t="s">
        <v>148</v>
      </c>
      <c r="C112" s="6" t="s">
        <v>61</v>
      </c>
      <c r="D112" s="6" t="s">
        <v>21</v>
      </c>
      <c r="E112" s="6" t="s">
        <v>22</v>
      </c>
      <c r="F112" s="6" t="s">
        <v>17</v>
      </c>
      <c r="G112" s="6" t="s">
        <v>33</v>
      </c>
      <c r="H112" s="7">
        <v>45033.0</v>
      </c>
      <c r="I112" s="8">
        <v>353.0</v>
      </c>
      <c r="J112" s="8">
        <v>281.28</v>
      </c>
      <c r="K112" s="8">
        <v>259.14</v>
      </c>
      <c r="L112" s="29">
        <f t="shared" si="1"/>
        <v>99291.84</v>
      </c>
    </row>
    <row r="113">
      <c r="B113" s="6" t="s">
        <v>149</v>
      </c>
      <c r="C113" s="6" t="s">
        <v>20</v>
      </c>
      <c r="D113" s="6" t="s">
        <v>21</v>
      </c>
      <c r="E113" s="6" t="s">
        <v>55</v>
      </c>
      <c r="F113" s="6" t="s">
        <v>28</v>
      </c>
      <c r="G113" s="6" t="s">
        <v>23</v>
      </c>
      <c r="H113" s="7">
        <v>45034.0</v>
      </c>
      <c r="I113" s="8">
        <v>374.0</v>
      </c>
      <c r="J113" s="8">
        <v>272.25</v>
      </c>
      <c r="K113" s="8">
        <v>200.73</v>
      </c>
      <c r="L113" s="29">
        <f t="shared" si="1"/>
        <v>101821.5</v>
      </c>
    </row>
    <row r="114">
      <c r="B114" s="6" t="s">
        <v>150</v>
      </c>
      <c r="C114" s="6" t="s">
        <v>61</v>
      </c>
      <c r="D114" s="6" t="s">
        <v>21</v>
      </c>
      <c r="E114" s="6" t="s">
        <v>16</v>
      </c>
      <c r="F114" s="6" t="s">
        <v>28</v>
      </c>
      <c r="G114" s="6" t="s">
        <v>23</v>
      </c>
      <c r="H114" s="7">
        <v>45035.0</v>
      </c>
      <c r="I114" s="8">
        <v>172.0</v>
      </c>
      <c r="J114" s="8">
        <v>21.92</v>
      </c>
      <c r="K114" s="8">
        <v>107.88</v>
      </c>
      <c r="L114" s="29">
        <f t="shared" si="1"/>
        <v>3770.24</v>
      </c>
    </row>
    <row r="115">
      <c r="B115" s="6" t="s">
        <v>151</v>
      </c>
      <c r="C115" s="6" t="s">
        <v>14</v>
      </c>
      <c r="D115" s="6" t="s">
        <v>39</v>
      </c>
      <c r="E115" s="6" t="s">
        <v>16</v>
      </c>
      <c r="F115" s="6" t="s">
        <v>28</v>
      </c>
      <c r="G115" s="6" t="s">
        <v>33</v>
      </c>
      <c r="H115" s="7">
        <v>45036.0</v>
      </c>
      <c r="I115" s="8">
        <v>335.0</v>
      </c>
      <c r="J115" s="8">
        <v>493.41</v>
      </c>
      <c r="K115" s="8">
        <v>61.4</v>
      </c>
      <c r="L115" s="29">
        <f t="shared" si="1"/>
        <v>165292.35</v>
      </c>
    </row>
    <row r="116">
      <c r="B116" s="6" t="s">
        <v>152</v>
      </c>
      <c r="C116" s="6" t="s">
        <v>20</v>
      </c>
      <c r="D116" s="6" t="s">
        <v>63</v>
      </c>
      <c r="E116" s="6" t="s">
        <v>27</v>
      </c>
      <c r="F116" s="6" t="s">
        <v>17</v>
      </c>
      <c r="G116" s="6" t="s">
        <v>33</v>
      </c>
      <c r="H116" s="7">
        <v>45037.0</v>
      </c>
      <c r="I116" s="8">
        <v>476.0</v>
      </c>
      <c r="J116" s="8">
        <v>65.87</v>
      </c>
      <c r="K116" s="8">
        <v>52.63</v>
      </c>
      <c r="L116" s="29">
        <f t="shared" si="1"/>
        <v>31354.12</v>
      </c>
    </row>
    <row r="117">
      <c r="B117" s="6" t="s">
        <v>153</v>
      </c>
      <c r="C117" s="6" t="s">
        <v>14</v>
      </c>
      <c r="D117" s="6" t="s">
        <v>31</v>
      </c>
      <c r="E117" s="6" t="s">
        <v>16</v>
      </c>
      <c r="F117" s="6" t="s">
        <v>17</v>
      </c>
      <c r="G117" s="6" t="s">
        <v>18</v>
      </c>
      <c r="H117" s="7">
        <v>45038.0</v>
      </c>
      <c r="I117" s="8">
        <v>423.0</v>
      </c>
      <c r="J117" s="8">
        <v>119.41</v>
      </c>
      <c r="K117" s="8">
        <v>346.13</v>
      </c>
      <c r="L117" s="29">
        <f t="shared" si="1"/>
        <v>50510.43</v>
      </c>
    </row>
    <row r="118">
      <c r="B118" s="6" t="s">
        <v>154</v>
      </c>
      <c r="C118" s="6" t="s">
        <v>20</v>
      </c>
      <c r="D118" s="6" t="s">
        <v>31</v>
      </c>
      <c r="E118" s="6" t="s">
        <v>16</v>
      </c>
      <c r="F118" s="6" t="s">
        <v>17</v>
      </c>
      <c r="G118" s="6" t="s">
        <v>18</v>
      </c>
      <c r="H118" s="7">
        <v>45039.0</v>
      </c>
      <c r="I118" s="8">
        <v>464.0</v>
      </c>
      <c r="J118" s="8">
        <v>30.59</v>
      </c>
      <c r="K118" s="8">
        <v>98.9</v>
      </c>
      <c r="L118" s="29">
        <f t="shared" si="1"/>
        <v>14193.76</v>
      </c>
    </row>
    <row r="119">
      <c r="B119" s="6" t="s">
        <v>155</v>
      </c>
      <c r="C119" s="6" t="s">
        <v>61</v>
      </c>
      <c r="D119" s="6" t="s">
        <v>39</v>
      </c>
      <c r="E119" s="6" t="s">
        <v>16</v>
      </c>
      <c r="F119" s="6" t="s">
        <v>28</v>
      </c>
      <c r="G119" s="6" t="s">
        <v>33</v>
      </c>
      <c r="H119" s="7">
        <v>45040.0</v>
      </c>
      <c r="I119" s="8">
        <v>83.0</v>
      </c>
      <c r="J119" s="8">
        <v>321.8</v>
      </c>
      <c r="K119" s="8">
        <v>261.38</v>
      </c>
      <c r="L119" s="29">
        <f t="shared" si="1"/>
        <v>26709.4</v>
      </c>
    </row>
    <row r="120">
      <c r="B120" s="6" t="s">
        <v>156</v>
      </c>
      <c r="C120" s="6" t="s">
        <v>14</v>
      </c>
      <c r="D120" s="6" t="s">
        <v>31</v>
      </c>
      <c r="E120" s="6" t="s">
        <v>16</v>
      </c>
      <c r="F120" s="6" t="s">
        <v>17</v>
      </c>
      <c r="G120" s="6" t="s">
        <v>23</v>
      </c>
      <c r="H120" s="7">
        <v>45041.0</v>
      </c>
      <c r="I120" s="8">
        <v>242.0</v>
      </c>
      <c r="J120" s="8">
        <v>116.23</v>
      </c>
      <c r="K120" s="8">
        <v>324.65</v>
      </c>
      <c r="L120" s="29">
        <f t="shared" si="1"/>
        <v>28127.66</v>
      </c>
    </row>
    <row r="121">
      <c r="B121" s="6" t="s">
        <v>157</v>
      </c>
      <c r="C121" s="6" t="s">
        <v>20</v>
      </c>
      <c r="D121" s="6" t="s">
        <v>21</v>
      </c>
      <c r="E121" s="6" t="s">
        <v>32</v>
      </c>
      <c r="F121" s="6" t="s">
        <v>28</v>
      </c>
      <c r="G121" s="6" t="s">
        <v>23</v>
      </c>
      <c r="H121" s="7">
        <v>45042.0</v>
      </c>
      <c r="I121" s="8">
        <v>233.0</v>
      </c>
      <c r="J121" s="8">
        <v>94.11</v>
      </c>
      <c r="K121" s="8">
        <v>246.4</v>
      </c>
      <c r="L121" s="29">
        <f t="shared" si="1"/>
        <v>21927.63</v>
      </c>
    </row>
    <row r="122">
      <c r="B122" s="6" t="s">
        <v>158</v>
      </c>
      <c r="C122" s="6" t="s">
        <v>26</v>
      </c>
      <c r="D122" s="6" t="s">
        <v>63</v>
      </c>
      <c r="E122" s="6" t="s">
        <v>32</v>
      </c>
      <c r="F122" s="6" t="s">
        <v>28</v>
      </c>
      <c r="G122" s="6" t="s">
        <v>23</v>
      </c>
      <c r="H122" s="7">
        <v>45043.0</v>
      </c>
      <c r="I122" s="8">
        <v>491.0</v>
      </c>
      <c r="J122" s="8">
        <v>48.84</v>
      </c>
      <c r="K122" s="8">
        <v>344.11</v>
      </c>
      <c r="L122" s="29">
        <f t="shared" si="1"/>
        <v>23980.44</v>
      </c>
    </row>
    <row r="123">
      <c r="B123" s="6" t="s">
        <v>159</v>
      </c>
      <c r="C123" s="6"/>
      <c r="D123" s="6" t="s">
        <v>15</v>
      </c>
      <c r="E123" s="6" t="s">
        <v>27</v>
      </c>
      <c r="F123" s="6" t="s">
        <v>28</v>
      </c>
      <c r="G123" s="6" t="s">
        <v>23</v>
      </c>
      <c r="H123" s="7">
        <v>45044.0</v>
      </c>
      <c r="I123" s="8">
        <v>328.0</v>
      </c>
      <c r="J123" s="8">
        <v>56.14</v>
      </c>
      <c r="K123" s="8">
        <v>158.17</v>
      </c>
      <c r="L123" s="29">
        <f t="shared" si="1"/>
        <v>18413.92</v>
      </c>
    </row>
    <row r="124">
      <c r="B124" s="6" t="s">
        <v>160</v>
      </c>
      <c r="C124" s="6" t="s">
        <v>20</v>
      </c>
      <c r="D124" s="6" t="s">
        <v>31</v>
      </c>
      <c r="E124" s="6" t="s">
        <v>55</v>
      </c>
      <c r="F124" s="6" t="s">
        <v>28</v>
      </c>
      <c r="G124" s="6" t="s">
        <v>18</v>
      </c>
      <c r="H124" s="7">
        <v>45045.0</v>
      </c>
      <c r="I124" s="8">
        <v>421.0</v>
      </c>
      <c r="J124" s="8">
        <v>294.41</v>
      </c>
      <c r="K124" s="8">
        <v>382.58</v>
      </c>
      <c r="L124" s="29">
        <f t="shared" si="1"/>
        <v>123946.61</v>
      </c>
    </row>
    <row r="125">
      <c r="B125" s="6" t="s">
        <v>161</v>
      </c>
      <c r="C125" s="6" t="s">
        <v>26</v>
      </c>
      <c r="D125" s="6" t="s">
        <v>21</v>
      </c>
      <c r="E125" s="6" t="s">
        <v>16</v>
      </c>
      <c r="F125" s="6" t="s">
        <v>28</v>
      </c>
      <c r="G125" s="6" t="s">
        <v>33</v>
      </c>
      <c r="H125" s="7">
        <v>45046.0</v>
      </c>
      <c r="I125" s="8">
        <v>69.0</v>
      </c>
      <c r="J125" s="8">
        <v>345.66</v>
      </c>
      <c r="K125" s="8">
        <v>54.99</v>
      </c>
      <c r="L125" s="29">
        <f t="shared" si="1"/>
        <v>23850.54</v>
      </c>
    </row>
    <row r="126">
      <c r="B126" s="6" t="s">
        <v>162</v>
      </c>
      <c r="C126" s="6" t="s">
        <v>20</v>
      </c>
      <c r="D126" s="6" t="s">
        <v>15</v>
      </c>
      <c r="E126" s="6" t="s">
        <v>55</v>
      </c>
      <c r="F126" s="6" t="s">
        <v>28</v>
      </c>
      <c r="G126" s="6" t="s">
        <v>23</v>
      </c>
      <c r="H126" s="7">
        <v>45047.0</v>
      </c>
      <c r="I126" s="8">
        <v>344.0</v>
      </c>
      <c r="J126" s="8">
        <v>201.7</v>
      </c>
      <c r="K126" s="8">
        <v>42.66</v>
      </c>
      <c r="L126" s="29">
        <f t="shared" si="1"/>
        <v>69384.8</v>
      </c>
    </row>
    <row r="127">
      <c r="B127" s="6" t="s">
        <v>163</v>
      </c>
      <c r="C127" s="6"/>
      <c r="D127" s="6" t="s">
        <v>63</v>
      </c>
      <c r="E127" s="6" t="s">
        <v>55</v>
      </c>
      <c r="F127" s="6" t="s">
        <v>17</v>
      </c>
      <c r="G127" s="6" t="s">
        <v>18</v>
      </c>
      <c r="H127" s="7">
        <v>45048.0</v>
      </c>
      <c r="I127" s="8">
        <v>231.0</v>
      </c>
      <c r="J127" s="8">
        <v>242.55</v>
      </c>
      <c r="K127" s="8">
        <v>264.16</v>
      </c>
      <c r="L127" s="29">
        <f t="shared" si="1"/>
        <v>56029.05</v>
      </c>
    </row>
    <row r="128">
      <c r="B128" s="6" t="s">
        <v>164</v>
      </c>
      <c r="C128" s="6" t="s">
        <v>61</v>
      </c>
      <c r="D128" s="6" t="s">
        <v>15</v>
      </c>
      <c r="E128" s="6" t="s">
        <v>27</v>
      </c>
      <c r="F128" s="6" t="s">
        <v>17</v>
      </c>
      <c r="G128" s="6" t="s">
        <v>23</v>
      </c>
      <c r="H128" s="7">
        <v>45049.0</v>
      </c>
      <c r="I128" s="8">
        <v>46.0</v>
      </c>
      <c r="J128" s="8">
        <v>344.55</v>
      </c>
      <c r="K128" s="8">
        <v>377.25</v>
      </c>
      <c r="L128" s="29">
        <f t="shared" si="1"/>
        <v>15849.3</v>
      </c>
    </row>
    <row r="129">
      <c r="B129" s="6" t="s">
        <v>165</v>
      </c>
      <c r="C129" s="6" t="s">
        <v>14</v>
      </c>
      <c r="D129" s="6" t="s">
        <v>21</v>
      </c>
      <c r="E129" s="6" t="s">
        <v>16</v>
      </c>
      <c r="F129" s="6" t="s">
        <v>28</v>
      </c>
      <c r="G129" s="6" t="s">
        <v>33</v>
      </c>
      <c r="H129" s="7">
        <v>45050.0</v>
      </c>
      <c r="I129" s="8">
        <v>486.0</v>
      </c>
      <c r="J129" s="8">
        <v>13.6</v>
      </c>
      <c r="K129" s="8">
        <v>323.94</v>
      </c>
      <c r="L129" s="29">
        <f t="shared" si="1"/>
        <v>6609.6</v>
      </c>
    </row>
    <row r="130">
      <c r="B130" s="6" t="s">
        <v>166</v>
      </c>
      <c r="C130" s="6" t="s">
        <v>26</v>
      </c>
      <c r="D130" s="6" t="s">
        <v>15</v>
      </c>
      <c r="E130" s="6" t="s">
        <v>16</v>
      </c>
      <c r="F130" s="6" t="s">
        <v>28</v>
      </c>
      <c r="G130" s="6" t="s">
        <v>18</v>
      </c>
      <c r="H130" s="7">
        <v>45051.0</v>
      </c>
      <c r="I130" s="8">
        <v>287.0</v>
      </c>
      <c r="J130" s="8">
        <v>164.95</v>
      </c>
      <c r="K130" s="8">
        <v>32.41</v>
      </c>
      <c r="L130" s="29">
        <f t="shared" si="1"/>
        <v>47340.65</v>
      </c>
    </row>
    <row r="131">
      <c r="B131" s="6" t="s">
        <v>167</v>
      </c>
      <c r="C131" s="6" t="s">
        <v>20</v>
      </c>
      <c r="D131" s="6" t="s">
        <v>39</v>
      </c>
      <c r="E131" s="6" t="s">
        <v>22</v>
      </c>
      <c r="F131" s="6" t="s">
        <v>17</v>
      </c>
      <c r="G131" s="6" t="s">
        <v>33</v>
      </c>
      <c r="H131" s="7">
        <v>45052.0</v>
      </c>
      <c r="I131" s="8">
        <v>205.0</v>
      </c>
      <c r="J131" s="8">
        <v>486.68</v>
      </c>
      <c r="K131" s="8">
        <v>113.19</v>
      </c>
      <c r="L131" s="29">
        <f t="shared" si="1"/>
        <v>99769.4</v>
      </c>
    </row>
    <row r="132">
      <c r="B132" s="6" t="s">
        <v>168</v>
      </c>
      <c r="C132" s="6" t="s">
        <v>61</v>
      </c>
      <c r="D132" s="6" t="s">
        <v>15</v>
      </c>
      <c r="E132" s="6" t="s">
        <v>55</v>
      </c>
      <c r="F132" s="6" t="s">
        <v>28</v>
      </c>
      <c r="G132" s="6" t="s">
        <v>33</v>
      </c>
      <c r="H132" s="7">
        <v>45053.0</v>
      </c>
      <c r="I132" s="8">
        <v>413.0</v>
      </c>
      <c r="J132" s="8">
        <v>292.16</v>
      </c>
      <c r="K132" s="8">
        <v>372.27</v>
      </c>
      <c r="L132" s="29">
        <f t="shared" si="1"/>
        <v>120662.08</v>
      </c>
    </row>
    <row r="133">
      <c r="B133" s="6" t="s">
        <v>169</v>
      </c>
      <c r="C133" s="6" t="s">
        <v>26</v>
      </c>
      <c r="D133" s="6" t="s">
        <v>31</v>
      </c>
      <c r="E133" s="6" t="s">
        <v>55</v>
      </c>
      <c r="F133" s="6" t="s">
        <v>28</v>
      </c>
      <c r="G133" s="6" t="s">
        <v>18</v>
      </c>
      <c r="H133" s="7">
        <v>45054.0</v>
      </c>
      <c r="I133" s="8">
        <v>361.0</v>
      </c>
      <c r="J133" s="8">
        <v>130.84</v>
      </c>
      <c r="K133" s="8">
        <v>102.72</v>
      </c>
      <c r="L133" s="29">
        <f t="shared" si="1"/>
        <v>47233.24</v>
      </c>
    </row>
    <row r="134">
      <c r="B134" s="6" t="s">
        <v>170</v>
      </c>
      <c r="C134" s="6" t="s">
        <v>20</v>
      </c>
      <c r="D134" s="6" t="s">
        <v>31</v>
      </c>
      <c r="E134" s="6" t="s">
        <v>32</v>
      </c>
      <c r="F134" s="6" t="s">
        <v>17</v>
      </c>
      <c r="G134" s="6" t="s">
        <v>18</v>
      </c>
      <c r="H134" s="7">
        <v>45055.0</v>
      </c>
      <c r="I134" s="8">
        <v>493.0</v>
      </c>
      <c r="J134" s="8">
        <v>263.26</v>
      </c>
      <c r="K134" s="8">
        <v>312.91</v>
      </c>
      <c r="L134" s="29">
        <f t="shared" si="1"/>
        <v>129787.18</v>
      </c>
    </row>
    <row r="135">
      <c r="B135" s="6" t="s">
        <v>171</v>
      </c>
      <c r="C135" s="6" t="s">
        <v>20</v>
      </c>
      <c r="D135" s="6" t="s">
        <v>39</v>
      </c>
      <c r="E135" s="6" t="s">
        <v>22</v>
      </c>
      <c r="F135" s="6" t="s">
        <v>28</v>
      </c>
      <c r="G135" s="6" t="s">
        <v>18</v>
      </c>
      <c r="H135" s="7">
        <v>45056.0</v>
      </c>
      <c r="I135" s="8">
        <v>251.0</v>
      </c>
      <c r="J135" s="8">
        <v>174.61</v>
      </c>
      <c r="K135" s="8">
        <v>330.4</v>
      </c>
      <c r="L135" s="29">
        <f t="shared" si="1"/>
        <v>43827.11</v>
      </c>
    </row>
    <row r="136">
      <c r="B136" s="6" t="s">
        <v>172</v>
      </c>
      <c r="C136" s="6" t="s">
        <v>20</v>
      </c>
      <c r="D136" s="6" t="s">
        <v>21</v>
      </c>
      <c r="E136" s="6" t="s">
        <v>32</v>
      </c>
      <c r="F136" s="6" t="s">
        <v>28</v>
      </c>
      <c r="G136" s="6" t="s">
        <v>18</v>
      </c>
      <c r="H136" s="7">
        <v>45057.0</v>
      </c>
      <c r="I136" s="6"/>
      <c r="J136" s="8">
        <v>268.46</v>
      </c>
      <c r="K136" s="8">
        <v>199.19</v>
      </c>
      <c r="L136" s="29">
        <f t="shared" si="1"/>
        <v>0</v>
      </c>
    </row>
    <row r="137">
      <c r="B137" s="6" t="s">
        <v>173</v>
      </c>
      <c r="C137" s="6" t="s">
        <v>26</v>
      </c>
      <c r="D137" s="6" t="s">
        <v>31</v>
      </c>
      <c r="E137" s="6" t="s">
        <v>32</v>
      </c>
      <c r="F137" s="6" t="s">
        <v>28</v>
      </c>
      <c r="G137" s="6" t="s">
        <v>18</v>
      </c>
      <c r="H137" s="7">
        <v>45058.0</v>
      </c>
      <c r="I137" s="8">
        <v>228.0</v>
      </c>
      <c r="J137" s="8">
        <v>67.24</v>
      </c>
      <c r="K137" s="8">
        <v>155.77</v>
      </c>
      <c r="L137" s="29">
        <f t="shared" si="1"/>
        <v>15330.72</v>
      </c>
    </row>
    <row r="138">
      <c r="B138" s="6" t="s">
        <v>174</v>
      </c>
      <c r="C138" s="6" t="s">
        <v>26</v>
      </c>
      <c r="D138" s="6" t="s">
        <v>63</v>
      </c>
      <c r="E138" s="6" t="s">
        <v>32</v>
      </c>
      <c r="F138" s="6" t="s">
        <v>17</v>
      </c>
      <c r="G138" s="6" t="s">
        <v>18</v>
      </c>
      <c r="H138" s="7">
        <v>45059.0</v>
      </c>
      <c r="I138" s="8">
        <v>201.0</v>
      </c>
      <c r="J138" s="8">
        <v>70.69</v>
      </c>
      <c r="K138" s="8">
        <v>181.15</v>
      </c>
      <c r="L138" s="29">
        <f t="shared" si="1"/>
        <v>14208.69</v>
      </c>
    </row>
    <row r="139">
      <c r="B139" s="6" t="s">
        <v>175</v>
      </c>
      <c r="C139" s="6" t="s">
        <v>26</v>
      </c>
      <c r="D139" s="6" t="s">
        <v>31</v>
      </c>
      <c r="E139" s="6" t="s">
        <v>27</v>
      </c>
      <c r="F139" s="6" t="s">
        <v>17</v>
      </c>
      <c r="G139" s="6" t="s">
        <v>18</v>
      </c>
      <c r="H139" s="7">
        <v>45060.0</v>
      </c>
      <c r="I139" s="8">
        <v>26.0</v>
      </c>
      <c r="J139" s="8">
        <v>76.05</v>
      </c>
      <c r="K139" s="8">
        <v>92.33</v>
      </c>
      <c r="L139" s="29">
        <f t="shared" si="1"/>
        <v>1977.3</v>
      </c>
    </row>
    <row r="140">
      <c r="B140" s="6" t="s">
        <v>176</v>
      </c>
      <c r="C140" s="6" t="s">
        <v>14</v>
      </c>
      <c r="D140" s="6" t="s">
        <v>31</v>
      </c>
      <c r="E140" s="6" t="s">
        <v>27</v>
      </c>
      <c r="F140" s="6" t="s">
        <v>17</v>
      </c>
      <c r="G140" s="6" t="s">
        <v>23</v>
      </c>
      <c r="H140" s="7">
        <v>45061.0</v>
      </c>
      <c r="I140" s="8">
        <v>21.0</v>
      </c>
      <c r="J140" s="8">
        <v>470.21</v>
      </c>
      <c r="K140" s="8">
        <v>355.98</v>
      </c>
      <c r="L140" s="29">
        <f t="shared" si="1"/>
        <v>9874.41</v>
      </c>
    </row>
    <row r="141">
      <c r="B141" s="6" t="s">
        <v>177</v>
      </c>
      <c r="C141" s="6" t="s">
        <v>26</v>
      </c>
      <c r="D141" s="6" t="s">
        <v>21</v>
      </c>
      <c r="E141" s="6" t="s">
        <v>32</v>
      </c>
      <c r="F141" s="6" t="s">
        <v>28</v>
      </c>
      <c r="G141" s="6" t="s">
        <v>33</v>
      </c>
      <c r="H141" s="7">
        <v>45062.0</v>
      </c>
      <c r="I141" s="8">
        <v>415.0</v>
      </c>
      <c r="J141" s="8">
        <v>367.78</v>
      </c>
      <c r="K141" s="8">
        <v>181.35</v>
      </c>
      <c r="L141" s="29">
        <f t="shared" si="1"/>
        <v>152628.7</v>
      </c>
    </row>
    <row r="142">
      <c r="B142" s="6" t="s">
        <v>178</v>
      </c>
      <c r="C142" s="6" t="s">
        <v>26</v>
      </c>
      <c r="D142" s="6" t="s">
        <v>15</v>
      </c>
      <c r="E142" s="6" t="s">
        <v>22</v>
      </c>
      <c r="F142" s="6" t="s">
        <v>28</v>
      </c>
      <c r="G142" s="6" t="s">
        <v>18</v>
      </c>
      <c r="H142" s="7">
        <v>45063.0</v>
      </c>
      <c r="I142" s="8">
        <v>410.0</v>
      </c>
      <c r="J142" s="8">
        <v>85.38</v>
      </c>
      <c r="K142" s="8">
        <v>353.22</v>
      </c>
      <c r="L142" s="29">
        <f t="shared" si="1"/>
        <v>35005.8</v>
      </c>
    </row>
    <row r="143">
      <c r="B143" s="6" t="s">
        <v>179</v>
      </c>
      <c r="C143" s="6" t="s">
        <v>26</v>
      </c>
      <c r="D143" s="6" t="s">
        <v>31</v>
      </c>
      <c r="E143" s="6" t="s">
        <v>55</v>
      </c>
      <c r="F143" s="6" t="s">
        <v>17</v>
      </c>
      <c r="G143" s="6" t="s">
        <v>23</v>
      </c>
      <c r="H143" s="7">
        <v>45064.0</v>
      </c>
      <c r="I143" s="8">
        <v>403.0</v>
      </c>
      <c r="J143" s="8">
        <v>98.23</v>
      </c>
      <c r="K143" s="8">
        <v>44.07</v>
      </c>
      <c r="L143" s="29">
        <f t="shared" si="1"/>
        <v>39586.69</v>
      </c>
    </row>
    <row r="144">
      <c r="B144" s="6" t="s">
        <v>180</v>
      </c>
      <c r="C144" s="6" t="s">
        <v>14</v>
      </c>
      <c r="D144" s="6" t="s">
        <v>39</v>
      </c>
      <c r="E144" s="6" t="s">
        <v>22</v>
      </c>
      <c r="F144" s="6" t="s">
        <v>28</v>
      </c>
      <c r="G144" s="6" t="s">
        <v>23</v>
      </c>
      <c r="H144" s="7">
        <v>45065.0</v>
      </c>
      <c r="I144" s="8">
        <v>383.0</v>
      </c>
      <c r="J144" s="8">
        <v>366.76</v>
      </c>
      <c r="K144" s="8">
        <v>395.33</v>
      </c>
      <c r="L144" s="29">
        <f t="shared" si="1"/>
        <v>140469.08</v>
      </c>
    </row>
    <row r="145">
      <c r="B145" s="6" t="s">
        <v>181</v>
      </c>
      <c r="C145" s="6" t="s">
        <v>26</v>
      </c>
      <c r="D145" s="6" t="s">
        <v>15</v>
      </c>
      <c r="E145" s="6" t="s">
        <v>16</v>
      </c>
      <c r="F145" s="6" t="s">
        <v>28</v>
      </c>
      <c r="G145" s="6" t="s">
        <v>23</v>
      </c>
      <c r="H145" s="7">
        <v>45066.0</v>
      </c>
      <c r="I145" s="8">
        <v>202.0</v>
      </c>
      <c r="J145" s="8">
        <v>82.3</v>
      </c>
      <c r="K145" s="8">
        <v>178.42</v>
      </c>
      <c r="L145" s="29">
        <f t="shared" si="1"/>
        <v>16624.6</v>
      </c>
    </row>
    <row r="146">
      <c r="B146" s="6" t="s">
        <v>182</v>
      </c>
      <c r="C146" s="6" t="s">
        <v>20</v>
      </c>
      <c r="D146" s="6" t="s">
        <v>63</v>
      </c>
      <c r="E146" s="6" t="s">
        <v>27</v>
      </c>
      <c r="F146" s="6" t="s">
        <v>28</v>
      </c>
      <c r="G146" s="6" t="s">
        <v>33</v>
      </c>
      <c r="H146" s="7">
        <v>45067.0</v>
      </c>
      <c r="I146" s="8">
        <v>31.0</v>
      </c>
      <c r="J146" s="8">
        <v>121.11</v>
      </c>
      <c r="K146" s="8">
        <v>21.04</v>
      </c>
      <c r="L146" s="29">
        <f t="shared" si="1"/>
        <v>3754.41</v>
      </c>
    </row>
    <row r="147">
      <c r="B147" s="6" t="s">
        <v>183</v>
      </c>
      <c r="C147" s="6" t="s">
        <v>26</v>
      </c>
      <c r="D147" s="6" t="s">
        <v>21</v>
      </c>
      <c r="E147" s="6" t="s">
        <v>55</v>
      </c>
      <c r="F147" s="6" t="s">
        <v>28</v>
      </c>
      <c r="G147" s="6" t="s">
        <v>18</v>
      </c>
      <c r="H147" s="7">
        <v>45068.0</v>
      </c>
      <c r="I147" s="8">
        <v>483.0</v>
      </c>
      <c r="J147" s="8">
        <v>481.86</v>
      </c>
      <c r="K147" s="8">
        <v>17.13</v>
      </c>
      <c r="L147" s="29">
        <f t="shared" si="1"/>
        <v>232738.38</v>
      </c>
    </row>
    <row r="148">
      <c r="B148" s="6" t="s">
        <v>184</v>
      </c>
      <c r="C148" s="6" t="s">
        <v>20</v>
      </c>
      <c r="D148" s="6" t="s">
        <v>63</v>
      </c>
      <c r="E148" s="6" t="s">
        <v>55</v>
      </c>
      <c r="F148" s="6" t="s">
        <v>28</v>
      </c>
      <c r="G148" s="6" t="s">
        <v>23</v>
      </c>
      <c r="H148" s="7">
        <v>45069.0</v>
      </c>
      <c r="I148" s="8">
        <v>129.0</v>
      </c>
      <c r="J148" s="8">
        <v>131.38</v>
      </c>
      <c r="K148" s="8">
        <v>298.99</v>
      </c>
      <c r="L148" s="29">
        <f t="shared" si="1"/>
        <v>16948.02</v>
      </c>
    </row>
    <row r="149">
      <c r="B149" s="6" t="s">
        <v>185</v>
      </c>
      <c r="C149" s="6" t="s">
        <v>20</v>
      </c>
      <c r="D149" s="6" t="s">
        <v>15</v>
      </c>
      <c r="E149" s="6" t="s">
        <v>16</v>
      </c>
      <c r="F149" s="6" t="s">
        <v>17</v>
      </c>
      <c r="G149" s="6" t="s">
        <v>33</v>
      </c>
      <c r="H149" s="7">
        <v>45070.0</v>
      </c>
      <c r="I149" s="8">
        <v>219.0</v>
      </c>
      <c r="J149" s="8">
        <v>332.51</v>
      </c>
      <c r="K149" s="8">
        <v>264.3</v>
      </c>
      <c r="L149" s="29">
        <f t="shared" si="1"/>
        <v>72819.69</v>
      </c>
    </row>
    <row r="150">
      <c r="B150" s="6" t="s">
        <v>186</v>
      </c>
      <c r="C150" s="6" t="s">
        <v>20</v>
      </c>
      <c r="D150" s="6" t="s">
        <v>15</v>
      </c>
      <c r="E150" s="6" t="s">
        <v>16</v>
      </c>
      <c r="F150" s="6" t="s">
        <v>28</v>
      </c>
      <c r="G150" s="6" t="s">
        <v>33</v>
      </c>
      <c r="H150" s="7">
        <v>45071.0</v>
      </c>
      <c r="I150" s="8">
        <v>315.0</v>
      </c>
      <c r="J150" s="8">
        <v>489.42</v>
      </c>
      <c r="K150" s="8">
        <v>321.25</v>
      </c>
      <c r="L150" s="29">
        <f t="shared" si="1"/>
        <v>154167.3</v>
      </c>
    </row>
    <row r="151">
      <c r="B151" s="6" t="s">
        <v>187</v>
      </c>
      <c r="C151" s="6" t="s">
        <v>14</v>
      </c>
      <c r="D151" s="6" t="s">
        <v>15</v>
      </c>
      <c r="E151" s="6" t="s">
        <v>32</v>
      </c>
      <c r="F151" s="6" t="s">
        <v>17</v>
      </c>
      <c r="G151" s="6" t="s">
        <v>33</v>
      </c>
      <c r="H151" s="7">
        <v>45072.0</v>
      </c>
      <c r="I151" s="8">
        <v>279.0</v>
      </c>
      <c r="J151" s="8">
        <v>190.28</v>
      </c>
      <c r="K151" s="8">
        <v>43.94</v>
      </c>
      <c r="L151" s="29">
        <f t="shared" si="1"/>
        <v>53088.12</v>
      </c>
    </row>
    <row r="152">
      <c r="B152" s="6" t="s">
        <v>188</v>
      </c>
      <c r="C152" s="6" t="s">
        <v>14</v>
      </c>
      <c r="D152" s="6" t="s">
        <v>63</v>
      </c>
      <c r="E152" s="6" t="s">
        <v>27</v>
      </c>
      <c r="F152" s="6" t="s">
        <v>28</v>
      </c>
      <c r="G152" s="6" t="s">
        <v>23</v>
      </c>
      <c r="H152" s="7">
        <v>45073.0</v>
      </c>
      <c r="I152" s="8">
        <v>201.0</v>
      </c>
      <c r="J152" s="8">
        <v>13.67</v>
      </c>
      <c r="K152" s="8">
        <v>16.16</v>
      </c>
      <c r="L152" s="29">
        <f t="shared" si="1"/>
        <v>2747.67</v>
      </c>
    </row>
    <row r="153">
      <c r="B153" s="6" t="s">
        <v>189</v>
      </c>
      <c r="C153" s="6" t="s">
        <v>14</v>
      </c>
      <c r="D153" s="6" t="s">
        <v>15</v>
      </c>
      <c r="E153" s="6" t="s">
        <v>27</v>
      </c>
      <c r="F153" s="6" t="s">
        <v>17</v>
      </c>
      <c r="G153" s="6" t="s">
        <v>18</v>
      </c>
      <c r="H153" s="7">
        <v>45074.0</v>
      </c>
      <c r="I153" s="8">
        <v>184.0</v>
      </c>
      <c r="J153" s="8">
        <v>125.85</v>
      </c>
      <c r="K153" s="8">
        <v>204.41</v>
      </c>
      <c r="L153" s="29">
        <f t="shared" si="1"/>
        <v>23156.4</v>
      </c>
    </row>
    <row r="154">
      <c r="B154" s="6" t="s">
        <v>190</v>
      </c>
      <c r="C154" s="6" t="s">
        <v>26</v>
      </c>
      <c r="D154" s="6" t="s">
        <v>63</v>
      </c>
      <c r="E154" s="6" t="s">
        <v>22</v>
      </c>
      <c r="F154" s="6" t="s">
        <v>28</v>
      </c>
      <c r="G154" s="6" t="s">
        <v>23</v>
      </c>
      <c r="H154" s="7">
        <v>45075.0</v>
      </c>
      <c r="I154" s="8">
        <v>294.0</v>
      </c>
      <c r="J154" s="8">
        <v>416.28</v>
      </c>
      <c r="K154" s="8">
        <v>156.26</v>
      </c>
      <c r="L154" s="29">
        <f t="shared" si="1"/>
        <v>122386.32</v>
      </c>
    </row>
    <row r="155">
      <c r="B155" s="6" t="s">
        <v>191</v>
      </c>
      <c r="C155" s="6" t="s">
        <v>20</v>
      </c>
      <c r="D155" s="6" t="s">
        <v>15</v>
      </c>
      <c r="E155" s="6" t="s">
        <v>32</v>
      </c>
      <c r="F155" s="6" t="s">
        <v>17</v>
      </c>
      <c r="G155" s="6" t="s">
        <v>23</v>
      </c>
      <c r="H155" s="7">
        <v>45076.0</v>
      </c>
      <c r="I155" s="8">
        <v>213.0</v>
      </c>
      <c r="J155" s="8">
        <v>432.98</v>
      </c>
      <c r="K155" s="8">
        <v>185.85</v>
      </c>
      <c r="L155" s="29">
        <f t="shared" si="1"/>
        <v>92224.74</v>
      </c>
    </row>
    <row r="156">
      <c r="B156" s="6" t="s">
        <v>192</v>
      </c>
      <c r="C156" s="6" t="s">
        <v>14</v>
      </c>
      <c r="D156" s="6" t="s">
        <v>39</v>
      </c>
      <c r="E156" s="6" t="s">
        <v>32</v>
      </c>
      <c r="F156" s="6" t="s">
        <v>28</v>
      </c>
      <c r="G156" s="6" t="s">
        <v>18</v>
      </c>
      <c r="H156" s="7">
        <v>45077.0</v>
      </c>
      <c r="I156" s="8">
        <v>173.0</v>
      </c>
      <c r="J156" s="8">
        <v>385.42</v>
      </c>
      <c r="K156" s="8">
        <v>396.65</v>
      </c>
      <c r="L156" s="29">
        <f t="shared" si="1"/>
        <v>66677.66</v>
      </c>
    </row>
    <row r="157">
      <c r="B157" s="6" t="s">
        <v>193</v>
      </c>
      <c r="C157" s="6" t="s">
        <v>14</v>
      </c>
      <c r="D157" s="6" t="s">
        <v>15</v>
      </c>
      <c r="E157" s="6" t="s">
        <v>32</v>
      </c>
      <c r="F157" s="6" t="s">
        <v>17</v>
      </c>
      <c r="G157" s="6" t="s">
        <v>18</v>
      </c>
      <c r="H157" s="7">
        <v>45078.0</v>
      </c>
      <c r="I157" s="8">
        <v>260.0</v>
      </c>
      <c r="J157" s="8">
        <v>60.99</v>
      </c>
      <c r="K157" s="8">
        <v>388.36</v>
      </c>
      <c r="L157" s="29">
        <f t="shared" si="1"/>
        <v>15857.4</v>
      </c>
    </row>
    <row r="158">
      <c r="B158" s="6" t="s">
        <v>194</v>
      </c>
      <c r="C158" s="6" t="s">
        <v>26</v>
      </c>
      <c r="D158" s="6" t="s">
        <v>63</v>
      </c>
      <c r="E158" s="6" t="s">
        <v>32</v>
      </c>
      <c r="F158" s="6" t="s">
        <v>28</v>
      </c>
      <c r="G158" s="6" t="s">
        <v>18</v>
      </c>
      <c r="H158" s="7">
        <v>45079.0</v>
      </c>
      <c r="I158" s="8">
        <v>236.0</v>
      </c>
      <c r="J158" s="8">
        <v>398.78</v>
      </c>
      <c r="K158" s="8">
        <v>377.04</v>
      </c>
      <c r="L158" s="29">
        <f t="shared" si="1"/>
        <v>94112.08</v>
      </c>
    </row>
    <row r="159">
      <c r="B159" s="6" t="s">
        <v>195</v>
      </c>
      <c r="C159" s="6" t="s">
        <v>14</v>
      </c>
      <c r="D159" s="6" t="s">
        <v>31</v>
      </c>
      <c r="E159" s="6" t="s">
        <v>27</v>
      </c>
      <c r="F159" s="6" t="s">
        <v>17</v>
      </c>
      <c r="G159" s="6" t="s">
        <v>33</v>
      </c>
      <c r="H159" s="7">
        <v>45080.0</v>
      </c>
      <c r="I159" s="8">
        <v>445.0</v>
      </c>
      <c r="J159" s="8">
        <v>459.75</v>
      </c>
      <c r="K159" s="8">
        <v>313.97</v>
      </c>
      <c r="L159" s="29">
        <f t="shared" si="1"/>
        <v>204588.75</v>
      </c>
    </row>
    <row r="160">
      <c r="B160" s="6" t="s">
        <v>196</v>
      </c>
      <c r="C160" s="6" t="s">
        <v>26</v>
      </c>
      <c r="D160" s="6" t="s">
        <v>15</v>
      </c>
      <c r="E160" s="6" t="s">
        <v>27</v>
      </c>
      <c r="F160" s="6" t="s">
        <v>28</v>
      </c>
      <c r="G160" s="6" t="s">
        <v>18</v>
      </c>
      <c r="H160" s="7">
        <v>45081.0</v>
      </c>
      <c r="I160" s="8">
        <v>390.0</v>
      </c>
      <c r="J160" s="8">
        <v>302.3</v>
      </c>
      <c r="K160" s="8">
        <v>143.23</v>
      </c>
      <c r="L160" s="29">
        <f t="shared" si="1"/>
        <v>117897</v>
      </c>
    </row>
    <row r="161">
      <c r="B161" s="6" t="s">
        <v>197</v>
      </c>
      <c r="C161" s="6" t="s">
        <v>61</v>
      </c>
      <c r="D161" s="6" t="s">
        <v>31</v>
      </c>
      <c r="E161" s="6" t="s">
        <v>32</v>
      </c>
      <c r="F161" s="6" t="s">
        <v>17</v>
      </c>
      <c r="G161" s="6" t="s">
        <v>23</v>
      </c>
      <c r="H161" s="7">
        <v>45082.0</v>
      </c>
      <c r="I161" s="8">
        <v>469.0</v>
      </c>
      <c r="J161" s="8">
        <v>470.73</v>
      </c>
      <c r="K161" s="8">
        <v>166.03</v>
      </c>
      <c r="L161" s="29">
        <f t="shared" si="1"/>
        <v>220772.37</v>
      </c>
    </row>
    <row r="162">
      <c r="B162" s="6" t="s">
        <v>198</v>
      </c>
      <c r="C162" s="6" t="s">
        <v>14</v>
      </c>
      <c r="D162" s="6" t="s">
        <v>39</v>
      </c>
      <c r="E162" s="6" t="s">
        <v>22</v>
      </c>
      <c r="F162" s="6" t="s">
        <v>17</v>
      </c>
      <c r="G162" s="6" t="s">
        <v>18</v>
      </c>
      <c r="H162" s="7">
        <v>45083.0</v>
      </c>
      <c r="I162" s="8">
        <v>16.0</v>
      </c>
      <c r="J162" s="6"/>
      <c r="K162" s="8">
        <v>220.75</v>
      </c>
      <c r="L162" s="29">
        <f t="shared" si="1"/>
        <v>0</v>
      </c>
    </row>
    <row r="163">
      <c r="B163" s="6" t="s">
        <v>199</v>
      </c>
      <c r="C163" s="6" t="s">
        <v>61</v>
      </c>
      <c r="D163" s="6" t="s">
        <v>21</v>
      </c>
      <c r="E163" s="6" t="s">
        <v>55</v>
      </c>
      <c r="F163" s="6" t="s">
        <v>28</v>
      </c>
      <c r="G163" s="6" t="s">
        <v>23</v>
      </c>
      <c r="H163" s="7">
        <v>45084.0</v>
      </c>
      <c r="I163" s="8">
        <v>38.0</v>
      </c>
      <c r="J163" s="8">
        <v>335.15</v>
      </c>
      <c r="K163" s="8">
        <v>332.55</v>
      </c>
      <c r="L163" s="29">
        <f t="shared" si="1"/>
        <v>12735.7</v>
      </c>
    </row>
    <row r="164">
      <c r="B164" s="6" t="s">
        <v>200</v>
      </c>
      <c r="C164" s="6" t="s">
        <v>26</v>
      </c>
      <c r="D164" s="6" t="s">
        <v>39</v>
      </c>
      <c r="E164" s="6"/>
      <c r="F164" s="6" t="s">
        <v>28</v>
      </c>
      <c r="G164" s="6" t="s">
        <v>33</v>
      </c>
      <c r="H164" s="7">
        <v>45085.0</v>
      </c>
      <c r="I164" s="8">
        <v>404.0</v>
      </c>
      <c r="J164" s="8">
        <v>290.71</v>
      </c>
      <c r="K164" s="8">
        <v>29.35</v>
      </c>
      <c r="L164" s="29">
        <f t="shared" si="1"/>
        <v>117446.84</v>
      </c>
    </row>
    <row r="165">
      <c r="B165" s="6" t="s">
        <v>201</v>
      </c>
      <c r="C165" s="6" t="s">
        <v>20</v>
      </c>
      <c r="D165" s="6" t="s">
        <v>15</v>
      </c>
      <c r="E165" s="6" t="s">
        <v>22</v>
      </c>
      <c r="F165" s="6" t="s">
        <v>17</v>
      </c>
      <c r="G165" s="6" t="s">
        <v>23</v>
      </c>
      <c r="H165" s="7">
        <v>45086.0</v>
      </c>
      <c r="I165" s="8">
        <v>42.0</v>
      </c>
      <c r="J165" s="8">
        <v>177.54</v>
      </c>
      <c r="K165" s="8">
        <v>170.87</v>
      </c>
      <c r="L165" s="29">
        <f t="shared" si="1"/>
        <v>7456.68</v>
      </c>
    </row>
    <row r="166">
      <c r="B166" s="6" t="s">
        <v>202</v>
      </c>
      <c r="C166" s="6" t="s">
        <v>14</v>
      </c>
      <c r="D166" s="6" t="s">
        <v>31</v>
      </c>
      <c r="E166" s="6" t="s">
        <v>32</v>
      </c>
      <c r="F166" s="6" t="s">
        <v>28</v>
      </c>
      <c r="G166" s="6" t="s">
        <v>23</v>
      </c>
      <c r="H166" s="7">
        <v>45087.0</v>
      </c>
      <c r="I166" s="8">
        <v>143.0</v>
      </c>
      <c r="J166" s="8">
        <v>83.85</v>
      </c>
      <c r="K166" s="8">
        <v>34.88</v>
      </c>
      <c r="L166" s="29">
        <f t="shared" si="1"/>
        <v>11990.55</v>
      </c>
    </row>
    <row r="167">
      <c r="B167" s="6" t="s">
        <v>203</v>
      </c>
      <c r="C167" s="6" t="s">
        <v>26</v>
      </c>
      <c r="D167" s="6" t="s">
        <v>31</v>
      </c>
      <c r="E167" s="6" t="s">
        <v>27</v>
      </c>
      <c r="F167" s="6" t="s">
        <v>17</v>
      </c>
      <c r="G167" s="6" t="s">
        <v>18</v>
      </c>
      <c r="H167" s="7">
        <v>45088.0</v>
      </c>
      <c r="I167" s="8">
        <v>376.0</v>
      </c>
      <c r="J167" s="8">
        <v>304.45</v>
      </c>
      <c r="K167" s="8">
        <v>206.83</v>
      </c>
      <c r="L167" s="29">
        <f t="shared" si="1"/>
        <v>114473.2</v>
      </c>
    </row>
    <row r="168">
      <c r="B168" s="6" t="s">
        <v>204</v>
      </c>
      <c r="C168" s="6" t="s">
        <v>20</v>
      </c>
      <c r="D168" s="6" t="s">
        <v>63</v>
      </c>
      <c r="E168" s="6" t="s">
        <v>55</v>
      </c>
      <c r="F168" s="6" t="s">
        <v>17</v>
      </c>
      <c r="G168" s="6" t="s">
        <v>18</v>
      </c>
      <c r="H168" s="7">
        <v>45089.0</v>
      </c>
      <c r="I168" s="8">
        <v>88.0</v>
      </c>
      <c r="J168" s="8">
        <v>162.47</v>
      </c>
      <c r="K168" s="8">
        <v>359.76</v>
      </c>
      <c r="L168" s="29">
        <f t="shared" si="1"/>
        <v>14297.36</v>
      </c>
    </row>
    <row r="169">
      <c r="B169" s="6" t="s">
        <v>205</v>
      </c>
      <c r="C169" s="6" t="s">
        <v>20</v>
      </c>
      <c r="D169" s="6" t="s">
        <v>31</v>
      </c>
      <c r="E169" s="6" t="s">
        <v>16</v>
      </c>
      <c r="F169" s="6" t="s">
        <v>17</v>
      </c>
      <c r="G169" s="6" t="s">
        <v>23</v>
      </c>
      <c r="H169" s="7">
        <v>45090.0</v>
      </c>
      <c r="I169" s="8">
        <v>425.0</v>
      </c>
      <c r="J169" s="8">
        <v>433.89</v>
      </c>
      <c r="K169" s="8">
        <v>313.43</v>
      </c>
      <c r="L169" s="29">
        <f t="shared" si="1"/>
        <v>184403.25</v>
      </c>
    </row>
    <row r="170">
      <c r="B170" s="6" t="s">
        <v>206</v>
      </c>
      <c r="C170" s="6" t="s">
        <v>61</v>
      </c>
      <c r="D170" s="6" t="s">
        <v>63</v>
      </c>
      <c r="E170" s="6" t="s">
        <v>16</v>
      </c>
      <c r="F170" s="6" t="s">
        <v>28</v>
      </c>
      <c r="G170" s="6" t="s">
        <v>18</v>
      </c>
      <c r="H170" s="7">
        <v>45091.0</v>
      </c>
      <c r="I170" s="8">
        <v>444.0</v>
      </c>
      <c r="J170" s="8">
        <v>496.7</v>
      </c>
      <c r="K170" s="8">
        <v>92.68</v>
      </c>
      <c r="L170" s="29">
        <f t="shared" si="1"/>
        <v>220534.8</v>
      </c>
    </row>
    <row r="171">
      <c r="B171" s="6" t="s">
        <v>207</v>
      </c>
      <c r="C171" s="6" t="s">
        <v>26</v>
      </c>
      <c r="D171" s="6" t="s">
        <v>21</v>
      </c>
      <c r="E171" s="6" t="s">
        <v>22</v>
      </c>
      <c r="F171" s="6" t="s">
        <v>17</v>
      </c>
      <c r="G171" s="6" t="s">
        <v>33</v>
      </c>
      <c r="H171" s="7">
        <v>45092.0</v>
      </c>
      <c r="I171" s="8">
        <v>468.0</v>
      </c>
      <c r="J171" s="8">
        <v>377.45</v>
      </c>
      <c r="K171" s="8">
        <v>390.44</v>
      </c>
      <c r="L171" s="29">
        <f t="shared" si="1"/>
        <v>176646.6</v>
      </c>
    </row>
    <row r="172">
      <c r="B172" s="6" t="s">
        <v>208</v>
      </c>
      <c r="C172" s="6" t="s">
        <v>20</v>
      </c>
      <c r="D172" s="6" t="s">
        <v>15</v>
      </c>
      <c r="E172" s="6" t="s">
        <v>32</v>
      </c>
      <c r="F172" s="6" t="s">
        <v>17</v>
      </c>
      <c r="G172" s="6" t="s">
        <v>33</v>
      </c>
      <c r="H172" s="7">
        <v>45093.0</v>
      </c>
      <c r="I172" s="8">
        <v>67.0</v>
      </c>
      <c r="J172" s="8">
        <v>49.79</v>
      </c>
      <c r="K172" s="8">
        <v>267.61</v>
      </c>
      <c r="L172" s="29">
        <f t="shared" si="1"/>
        <v>3335.93</v>
      </c>
    </row>
    <row r="173">
      <c r="B173" s="6" t="s">
        <v>209</v>
      </c>
      <c r="C173" s="6" t="s">
        <v>14</v>
      </c>
      <c r="D173" s="6" t="s">
        <v>63</v>
      </c>
      <c r="E173" s="6" t="s">
        <v>55</v>
      </c>
      <c r="F173" s="6" t="s">
        <v>28</v>
      </c>
      <c r="G173" s="6" t="s">
        <v>18</v>
      </c>
      <c r="H173" s="7">
        <v>45094.0</v>
      </c>
      <c r="I173" s="8">
        <v>480.0</v>
      </c>
      <c r="J173" s="8">
        <v>147.9</v>
      </c>
      <c r="K173" s="8">
        <v>6.15</v>
      </c>
      <c r="L173" s="29">
        <f t="shared" si="1"/>
        <v>70992</v>
      </c>
    </row>
    <row r="174">
      <c r="B174" s="6" t="s">
        <v>210</v>
      </c>
      <c r="C174" s="6" t="s">
        <v>14</v>
      </c>
      <c r="D174" s="6" t="s">
        <v>21</v>
      </c>
      <c r="E174" s="6" t="s">
        <v>32</v>
      </c>
      <c r="F174" s="6" t="s">
        <v>28</v>
      </c>
      <c r="G174" s="6" t="s">
        <v>33</v>
      </c>
      <c r="H174" s="7">
        <v>45095.0</v>
      </c>
      <c r="I174" s="8">
        <v>35.0</v>
      </c>
      <c r="J174" s="8">
        <v>59.01</v>
      </c>
      <c r="K174" s="8">
        <v>103.65</v>
      </c>
      <c r="L174" s="29">
        <f t="shared" si="1"/>
        <v>2065.35</v>
      </c>
    </row>
    <row r="175">
      <c r="B175" s="6" t="s">
        <v>211</v>
      </c>
      <c r="C175" s="6" t="s">
        <v>61</v>
      </c>
      <c r="D175" s="6" t="s">
        <v>31</v>
      </c>
      <c r="E175" s="6" t="s">
        <v>55</v>
      </c>
      <c r="F175" s="6" t="s">
        <v>28</v>
      </c>
      <c r="G175" s="6" t="s">
        <v>18</v>
      </c>
      <c r="H175" s="7">
        <v>45096.0</v>
      </c>
      <c r="I175" s="8">
        <v>491.0</v>
      </c>
      <c r="J175" s="8">
        <v>327.0</v>
      </c>
      <c r="K175" s="8">
        <v>105.76</v>
      </c>
      <c r="L175" s="29">
        <f t="shared" si="1"/>
        <v>160557</v>
      </c>
    </row>
    <row r="176">
      <c r="B176" s="6" t="s">
        <v>212</v>
      </c>
      <c r="C176" s="6" t="s">
        <v>20</v>
      </c>
      <c r="D176" s="6" t="s">
        <v>31</v>
      </c>
      <c r="E176" s="6" t="s">
        <v>22</v>
      </c>
      <c r="F176" s="6" t="s">
        <v>28</v>
      </c>
      <c r="G176" s="6" t="s">
        <v>23</v>
      </c>
      <c r="H176" s="7">
        <v>45097.0</v>
      </c>
      <c r="I176" s="8">
        <v>439.0</v>
      </c>
      <c r="J176" s="8">
        <v>383.77</v>
      </c>
      <c r="K176" s="8">
        <v>29.56</v>
      </c>
      <c r="L176" s="29">
        <f t="shared" si="1"/>
        <v>168475.03</v>
      </c>
    </row>
    <row r="177">
      <c r="B177" s="6" t="s">
        <v>213</v>
      </c>
      <c r="C177" s="6" t="s">
        <v>26</v>
      </c>
      <c r="D177" s="6" t="s">
        <v>21</v>
      </c>
      <c r="E177" s="6" t="s">
        <v>22</v>
      </c>
      <c r="F177" s="6" t="s">
        <v>17</v>
      </c>
      <c r="G177" s="6" t="s">
        <v>23</v>
      </c>
      <c r="H177" s="7">
        <v>45098.0</v>
      </c>
      <c r="I177" s="8">
        <v>235.0</v>
      </c>
      <c r="J177" s="8">
        <v>463.21</v>
      </c>
      <c r="K177" s="8">
        <v>384.01</v>
      </c>
      <c r="L177" s="29">
        <f t="shared" si="1"/>
        <v>108854.35</v>
      </c>
    </row>
    <row r="178">
      <c r="B178" s="6" t="s">
        <v>214</v>
      </c>
      <c r="C178" s="6" t="s">
        <v>14</v>
      </c>
      <c r="D178" s="6" t="s">
        <v>31</v>
      </c>
      <c r="E178" s="6" t="s">
        <v>16</v>
      </c>
      <c r="F178" s="6" t="s">
        <v>17</v>
      </c>
      <c r="G178" s="6" t="s">
        <v>33</v>
      </c>
      <c r="H178" s="7">
        <v>45099.0</v>
      </c>
      <c r="I178" s="8">
        <v>294.0</v>
      </c>
      <c r="J178" s="8">
        <v>221.9</v>
      </c>
      <c r="K178" s="8">
        <v>192.35</v>
      </c>
      <c r="L178" s="29">
        <f t="shared" si="1"/>
        <v>65238.6</v>
      </c>
    </row>
    <row r="179">
      <c r="B179" s="6" t="s">
        <v>215</v>
      </c>
      <c r="C179" s="6" t="s">
        <v>20</v>
      </c>
      <c r="D179" s="6" t="s">
        <v>21</v>
      </c>
      <c r="E179" s="6" t="s">
        <v>32</v>
      </c>
      <c r="F179" s="6" t="s">
        <v>17</v>
      </c>
      <c r="G179" s="6" t="s">
        <v>18</v>
      </c>
      <c r="H179" s="7">
        <v>45100.0</v>
      </c>
      <c r="I179" s="8">
        <v>13.0</v>
      </c>
      <c r="J179" s="8">
        <v>451.18</v>
      </c>
      <c r="K179" s="8">
        <v>358.53</v>
      </c>
      <c r="L179" s="29">
        <f t="shared" si="1"/>
        <v>5865.34</v>
      </c>
    </row>
    <row r="180">
      <c r="B180" s="6" t="s">
        <v>216</v>
      </c>
      <c r="C180" s="6" t="s">
        <v>20</v>
      </c>
      <c r="D180" s="6" t="s">
        <v>63</v>
      </c>
      <c r="E180" s="6" t="s">
        <v>16</v>
      </c>
      <c r="F180" s="6" t="s">
        <v>17</v>
      </c>
      <c r="G180" s="6" t="s">
        <v>18</v>
      </c>
      <c r="H180" s="7">
        <v>45101.0</v>
      </c>
      <c r="I180" s="8">
        <v>474.0</v>
      </c>
      <c r="J180" s="8">
        <v>439.56</v>
      </c>
      <c r="K180" s="8">
        <v>130.24</v>
      </c>
      <c r="L180" s="29">
        <f t="shared" si="1"/>
        <v>208351.44</v>
      </c>
    </row>
    <row r="181">
      <c r="B181" s="6" t="s">
        <v>217</v>
      </c>
      <c r="C181" s="6" t="s">
        <v>61</v>
      </c>
      <c r="D181" s="6" t="s">
        <v>63</v>
      </c>
      <c r="E181" s="6" t="s">
        <v>32</v>
      </c>
      <c r="F181" s="6" t="s">
        <v>28</v>
      </c>
      <c r="G181" s="6" t="s">
        <v>33</v>
      </c>
      <c r="H181" s="7">
        <v>45102.0</v>
      </c>
      <c r="I181" s="8">
        <v>108.0</v>
      </c>
      <c r="J181" s="8">
        <v>162.01</v>
      </c>
      <c r="K181" s="8">
        <v>51.84</v>
      </c>
      <c r="L181" s="29">
        <f t="shared" si="1"/>
        <v>17497.08</v>
      </c>
    </row>
    <row r="182">
      <c r="B182" s="6" t="s">
        <v>218</v>
      </c>
      <c r="C182" s="6" t="s">
        <v>14</v>
      </c>
      <c r="D182" s="6" t="s">
        <v>21</v>
      </c>
      <c r="E182" s="6" t="s">
        <v>16</v>
      </c>
      <c r="F182" s="6" t="s">
        <v>17</v>
      </c>
      <c r="G182" s="6" t="s">
        <v>23</v>
      </c>
      <c r="H182" s="7">
        <v>45103.0</v>
      </c>
      <c r="I182" s="8">
        <v>406.0</v>
      </c>
      <c r="J182" s="8">
        <v>435.11</v>
      </c>
      <c r="K182" s="8">
        <v>190.79</v>
      </c>
      <c r="L182" s="29">
        <f t="shared" si="1"/>
        <v>176654.66</v>
      </c>
    </row>
    <row r="183">
      <c r="B183" s="6" t="s">
        <v>219</v>
      </c>
      <c r="C183" s="6" t="s">
        <v>14</v>
      </c>
      <c r="D183" s="6" t="s">
        <v>63</v>
      </c>
      <c r="E183" s="6" t="s">
        <v>27</v>
      </c>
      <c r="F183" s="6" t="s">
        <v>17</v>
      </c>
      <c r="G183" s="6" t="s">
        <v>33</v>
      </c>
      <c r="H183" s="7">
        <v>45104.0</v>
      </c>
      <c r="I183" s="8">
        <v>498.0</v>
      </c>
      <c r="J183" s="8">
        <v>190.96</v>
      </c>
      <c r="K183" s="8">
        <v>47.35</v>
      </c>
      <c r="L183" s="29">
        <f t="shared" si="1"/>
        <v>95098.08</v>
      </c>
    </row>
    <row r="184">
      <c r="B184" s="6" t="s">
        <v>220</v>
      </c>
      <c r="C184" s="6" t="s">
        <v>26</v>
      </c>
      <c r="D184" s="6" t="s">
        <v>63</v>
      </c>
      <c r="E184" s="6" t="s">
        <v>27</v>
      </c>
      <c r="F184" s="6" t="s">
        <v>28</v>
      </c>
      <c r="G184" s="6" t="s">
        <v>23</v>
      </c>
      <c r="H184" s="7">
        <v>45105.0</v>
      </c>
      <c r="I184" s="8">
        <v>48.0</v>
      </c>
      <c r="J184" s="8">
        <v>151.95</v>
      </c>
      <c r="K184" s="8">
        <v>195.43</v>
      </c>
      <c r="L184" s="29">
        <f t="shared" si="1"/>
        <v>7293.6</v>
      </c>
    </row>
    <row r="185">
      <c r="B185" s="6" t="s">
        <v>221</v>
      </c>
      <c r="C185" s="6" t="s">
        <v>14</v>
      </c>
      <c r="D185" s="6" t="s">
        <v>63</v>
      </c>
      <c r="E185" s="6" t="s">
        <v>27</v>
      </c>
      <c r="F185" s="6" t="s">
        <v>17</v>
      </c>
      <c r="G185" s="6" t="s">
        <v>18</v>
      </c>
      <c r="H185" s="7">
        <v>45106.0</v>
      </c>
      <c r="I185" s="8">
        <v>280.0</v>
      </c>
      <c r="J185" s="8">
        <v>326.29</v>
      </c>
      <c r="K185" s="8">
        <v>368.28</v>
      </c>
      <c r="L185" s="29">
        <f t="shared" si="1"/>
        <v>91361.2</v>
      </c>
    </row>
    <row r="186">
      <c r="B186" s="6" t="s">
        <v>222</v>
      </c>
      <c r="C186" s="6" t="s">
        <v>26</v>
      </c>
      <c r="D186" s="6" t="s">
        <v>39</v>
      </c>
      <c r="E186" s="6" t="s">
        <v>27</v>
      </c>
      <c r="F186" s="6" t="s">
        <v>17</v>
      </c>
      <c r="G186" s="6" t="s">
        <v>23</v>
      </c>
      <c r="H186" s="7">
        <v>45107.0</v>
      </c>
      <c r="I186" s="8">
        <v>384.0</v>
      </c>
      <c r="J186" s="8">
        <v>167.55</v>
      </c>
      <c r="K186" s="8">
        <v>209.27</v>
      </c>
      <c r="L186" s="29">
        <f t="shared" si="1"/>
        <v>64339.2</v>
      </c>
    </row>
    <row r="187">
      <c r="B187" s="6" t="s">
        <v>223</v>
      </c>
      <c r="C187" s="6" t="s">
        <v>14</v>
      </c>
      <c r="D187" s="6" t="s">
        <v>15</v>
      </c>
      <c r="E187" s="6" t="s">
        <v>55</v>
      </c>
      <c r="F187" s="6" t="s">
        <v>17</v>
      </c>
      <c r="G187" s="6" t="s">
        <v>33</v>
      </c>
      <c r="H187" s="7">
        <v>45108.0</v>
      </c>
      <c r="I187" s="8">
        <v>294.0</v>
      </c>
      <c r="J187" s="8">
        <v>316.95</v>
      </c>
      <c r="K187" s="8">
        <v>247.37</v>
      </c>
      <c r="L187" s="29">
        <f t="shared" si="1"/>
        <v>93183.3</v>
      </c>
    </row>
    <row r="188">
      <c r="B188" s="6" t="s">
        <v>224</v>
      </c>
      <c r="C188" s="6" t="s">
        <v>61</v>
      </c>
      <c r="D188" s="6" t="s">
        <v>31</v>
      </c>
      <c r="E188" s="6" t="s">
        <v>27</v>
      </c>
      <c r="F188" s="6" t="s">
        <v>17</v>
      </c>
      <c r="G188" s="6" t="s">
        <v>18</v>
      </c>
      <c r="H188" s="7">
        <v>45109.0</v>
      </c>
      <c r="I188" s="8">
        <v>166.0</v>
      </c>
      <c r="J188" s="8">
        <v>306.87</v>
      </c>
      <c r="K188" s="8">
        <v>64.34</v>
      </c>
      <c r="L188" s="29">
        <f t="shared" si="1"/>
        <v>50940.42</v>
      </c>
    </row>
    <row r="189">
      <c r="B189" s="6" t="s">
        <v>225</v>
      </c>
      <c r="C189" s="6" t="s">
        <v>14</v>
      </c>
      <c r="D189" s="6" t="s">
        <v>39</v>
      </c>
      <c r="E189" s="6" t="s">
        <v>22</v>
      </c>
      <c r="F189" s="6" t="s">
        <v>17</v>
      </c>
      <c r="G189" s="6" t="s">
        <v>33</v>
      </c>
      <c r="H189" s="7">
        <v>45110.0</v>
      </c>
      <c r="I189" s="8">
        <v>84.0</v>
      </c>
      <c r="J189" s="8">
        <v>283.9</v>
      </c>
      <c r="K189" s="8">
        <v>19.41</v>
      </c>
      <c r="L189" s="29">
        <f t="shared" si="1"/>
        <v>23847.6</v>
      </c>
    </row>
    <row r="190">
      <c r="B190" s="6" t="s">
        <v>226</v>
      </c>
      <c r="C190" s="6" t="s">
        <v>26</v>
      </c>
      <c r="D190" s="6" t="s">
        <v>63</v>
      </c>
      <c r="E190" s="6" t="s">
        <v>22</v>
      </c>
      <c r="F190" s="6" t="s">
        <v>17</v>
      </c>
      <c r="G190" s="6" t="s">
        <v>33</v>
      </c>
      <c r="H190" s="7">
        <v>45111.0</v>
      </c>
      <c r="I190" s="8">
        <v>381.0</v>
      </c>
      <c r="J190" s="8">
        <v>193.31</v>
      </c>
      <c r="K190" s="8">
        <v>46.1</v>
      </c>
      <c r="L190" s="29">
        <f t="shared" si="1"/>
        <v>73651.11</v>
      </c>
    </row>
    <row r="191">
      <c r="B191" s="6" t="s">
        <v>227</v>
      </c>
      <c r="C191" s="6" t="s">
        <v>26</v>
      </c>
      <c r="D191" s="6" t="s">
        <v>21</v>
      </c>
      <c r="E191" s="6" t="s">
        <v>55</v>
      </c>
      <c r="F191" s="6" t="s">
        <v>28</v>
      </c>
      <c r="G191" s="6" t="s">
        <v>23</v>
      </c>
      <c r="H191" s="7">
        <v>45112.0</v>
      </c>
      <c r="I191" s="8">
        <v>297.0</v>
      </c>
      <c r="J191" s="8">
        <v>276.51</v>
      </c>
      <c r="K191" s="8">
        <v>240.22</v>
      </c>
      <c r="L191" s="29">
        <f t="shared" si="1"/>
        <v>82123.47</v>
      </c>
    </row>
    <row r="192">
      <c r="B192" s="6" t="s">
        <v>228</v>
      </c>
      <c r="C192" s="6" t="s">
        <v>61</v>
      </c>
      <c r="D192" s="6" t="s">
        <v>63</v>
      </c>
      <c r="E192" s="6" t="s">
        <v>27</v>
      </c>
      <c r="F192" s="6" t="s">
        <v>28</v>
      </c>
      <c r="G192" s="6" t="s">
        <v>33</v>
      </c>
      <c r="H192" s="7">
        <v>45113.0</v>
      </c>
      <c r="I192" s="8">
        <v>139.0</v>
      </c>
      <c r="J192" s="8">
        <v>300.26</v>
      </c>
      <c r="K192" s="8">
        <v>39.81</v>
      </c>
      <c r="L192" s="29">
        <f t="shared" si="1"/>
        <v>41736.14</v>
      </c>
    </row>
    <row r="193">
      <c r="B193" s="6" t="s">
        <v>229</v>
      </c>
      <c r="C193" s="6" t="s">
        <v>14</v>
      </c>
      <c r="D193" s="6" t="s">
        <v>15</v>
      </c>
      <c r="E193" s="6" t="s">
        <v>27</v>
      </c>
      <c r="F193" s="6" t="s">
        <v>17</v>
      </c>
      <c r="G193" s="6" t="s">
        <v>23</v>
      </c>
      <c r="H193" s="7">
        <v>45114.0</v>
      </c>
      <c r="I193" s="8">
        <v>184.0</v>
      </c>
      <c r="J193" s="8">
        <v>275.12</v>
      </c>
      <c r="K193" s="8">
        <v>151.65</v>
      </c>
      <c r="L193" s="29">
        <f t="shared" si="1"/>
        <v>50622.08</v>
      </c>
    </row>
    <row r="194">
      <c r="B194" s="6" t="s">
        <v>230</v>
      </c>
      <c r="C194" s="6" t="s">
        <v>14</v>
      </c>
      <c r="D194" s="6" t="s">
        <v>63</v>
      </c>
      <c r="E194" s="6" t="s">
        <v>27</v>
      </c>
      <c r="F194" s="6" t="s">
        <v>17</v>
      </c>
      <c r="G194" s="6" t="s">
        <v>18</v>
      </c>
      <c r="H194" s="7">
        <v>45115.0</v>
      </c>
      <c r="I194" s="8">
        <v>471.0</v>
      </c>
      <c r="J194" s="8">
        <v>224.99</v>
      </c>
      <c r="K194" s="8">
        <v>220.94</v>
      </c>
      <c r="L194" s="29">
        <f t="shared" si="1"/>
        <v>105970.29</v>
      </c>
    </row>
    <row r="195">
      <c r="B195" s="6" t="s">
        <v>231</v>
      </c>
      <c r="C195" s="6" t="s">
        <v>61</v>
      </c>
      <c r="D195" s="6" t="s">
        <v>21</v>
      </c>
      <c r="E195" s="6" t="s">
        <v>16</v>
      </c>
      <c r="F195" s="6" t="s">
        <v>28</v>
      </c>
      <c r="G195" s="6" t="s">
        <v>23</v>
      </c>
      <c r="H195" s="7">
        <v>45116.0</v>
      </c>
      <c r="I195" s="8">
        <v>93.0</v>
      </c>
      <c r="J195" s="8">
        <v>12.26</v>
      </c>
      <c r="K195" s="8">
        <v>156.68</v>
      </c>
      <c r="L195" s="29">
        <f t="shared" si="1"/>
        <v>1140.18</v>
      </c>
    </row>
    <row r="196">
      <c r="B196" s="6" t="s">
        <v>232</v>
      </c>
      <c r="C196" s="6" t="s">
        <v>14</v>
      </c>
      <c r="D196" s="6" t="s">
        <v>15</v>
      </c>
      <c r="E196" s="6" t="s">
        <v>32</v>
      </c>
      <c r="F196" s="6" t="s">
        <v>17</v>
      </c>
      <c r="G196" s="6" t="s">
        <v>18</v>
      </c>
      <c r="H196" s="7">
        <v>45117.0</v>
      </c>
      <c r="I196" s="8">
        <v>31.0</v>
      </c>
      <c r="J196" s="8">
        <v>295.6</v>
      </c>
      <c r="K196" s="8">
        <v>67.15</v>
      </c>
      <c r="L196" s="29">
        <f t="shared" si="1"/>
        <v>9163.6</v>
      </c>
    </row>
    <row r="197">
      <c r="B197" s="6" t="s">
        <v>233</v>
      </c>
      <c r="C197" s="6" t="s">
        <v>14</v>
      </c>
      <c r="D197" s="6" t="s">
        <v>63</v>
      </c>
      <c r="E197" s="6" t="s">
        <v>16</v>
      </c>
      <c r="F197" s="6" t="s">
        <v>17</v>
      </c>
      <c r="G197" s="6" t="s">
        <v>23</v>
      </c>
      <c r="H197" s="7">
        <v>45118.0</v>
      </c>
      <c r="I197" s="8">
        <v>468.0</v>
      </c>
      <c r="J197" s="8">
        <v>88.38</v>
      </c>
      <c r="K197" s="8">
        <v>110.97</v>
      </c>
      <c r="L197" s="29">
        <f t="shared" si="1"/>
        <v>41361.84</v>
      </c>
    </row>
    <row r="198">
      <c r="B198" s="6" t="s">
        <v>234</v>
      </c>
      <c r="C198" s="6" t="s">
        <v>26</v>
      </c>
      <c r="D198" s="6" t="s">
        <v>15</v>
      </c>
      <c r="E198" s="6" t="s">
        <v>32</v>
      </c>
      <c r="F198" s="6" t="s">
        <v>17</v>
      </c>
      <c r="G198" s="6" t="s">
        <v>33</v>
      </c>
      <c r="H198" s="7">
        <v>45119.0</v>
      </c>
      <c r="I198" s="8">
        <v>36.0</v>
      </c>
      <c r="J198" s="8">
        <v>323.08</v>
      </c>
      <c r="K198" s="8">
        <v>371.47</v>
      </c>
      <c r="L198" s="29">
        <f t="shared" si="1"/>
        <v>11630.88</v>
      </c>
    </row>
    <row r="199">
      <c r="B199" s="6" t="s">
        <v>235</v>
      </c>
      <c r="C199" s="6" t="s">
        <v>14</v>
      </c>
      <c r="D199" s="6" t="s">
        <v>31</v>
      </c>
      <c r="E199" s="6" t="s">
        <v>27</v>
      </c>
      <c r="F199" s="6" t="s">
        <v>28</v>
      </c>
      <c r="G199" s="6" t="s">
        <v>23</v>
      </c>
      <c r="H199" s="7">
        <v>45120.0</v>
      </c>
      <c r="I199" s="8">
        <v>204.0</v>
      </c>
      <c r="J199" s="8">
        <v>380.88</v>
      </c>
      <c r="K199" s="8">
        <v>271.04</v>
      </c>
      <c r="L199" s="29">
        <f t="shared" si="1"/>
        <v>77699.52</v>
      </c>
    </row>
    <row r="200">
      <c r="B200" s="6" t="s">
        <v>236</v>
      </c>
      <c r="C200" s="6" t="s">
        <v>14</v>
      </c>
      <c r="D200" s="6" t="s">
        <v>31</v>
      </c>
      <c r="E200" s="6" t="s">
        <v>27</v>
      </c>
      <c r="F200" s="6" t="s">
        <v>17</v>
      </c>
      <c r="G200" s="6" t="s">
        <v>23</v>
      </c>
      <c r="H200" s="7">
        <v>45121.0</v>
      </c>
      <c r="I200" s="8">
        <v>346.0</v>
      </c>
      <c r="J200" s="8">
        <v>252.72</v>
      </c>
      <c r="K200" s="8">
        <v>199.43</v>
      </c>
      <c r="L200" s="29">
        <f t="shared" si="1"/>
        <v>87441.12</v>
      </c>
    </row>
    <row r="201">
      <c r="B201" s="6" t="s">
        <v>237</v>
      </c>
      <c r="C201" s="6" t="s">
        <v>61</v>
      </c>
      <c r="D201" s="6" t="s">
        <v>63</v>
      </c>
      <c r="E201" s="6" t="s">
        <v>16</v>
      </c>
      <c r="F201" s="6" t="s">
        <v>28</v>
      </c>
      <c r="G201" s="6" t="s">
        <v>18</v>
      </c>
      <c r="H201" s="7">
        <v>45122.0</v>
      </c>
      <c r="I201" s="8">
        <v>391.0</v>
      </c>
      <c r="J201" s="8">
        <v>273.47</v>
      </c>
      <c r="K201" s="8">
        <v>7.06</v>
      </c>
      <c r="L201" s="29">
        <f t="shared" si="1"/>
        <v>106926.77</v>
      </c>
    </row>
    <row r="202">
      <c r="B202" s="6" t="s">
        <v>238</v>
      </c>
      <c r="C202" s="6" t="s">
        <v>61</v>
      </c>
      <c r="D202" s="6" t="s">
        <v>15</v>
      </c>
      <c r="E202" s="6" t="s">
        <v>16</v>
      </c>
      <c r="F202" s="6" t="s">
        <v>17</v>
      </c>
      <c r="G202" s="6" t="s">
        <v>33</v>
      </c>
      <c r="H202" s="7">
        <v>45123.0</v>
      </c>
      <c r="I202" s="8">
        <v>245.0</v>
      </c>
      <c r="J202" s="8">
        <v>475.98</v>
      </c>
      <c r="K202" s="8">
        <v>396.98</v>
      </c>
      <c r="L202" s="29">
        <f t="shared" si="1"/>
        <v>116615.1</v>
      </c>
    </row>
    <row r="203">
      <c r="B203" s="6" t="s">
        <v>239</v>
      </c>
      <c r="C203" s="6" t="s">
        <v>20</v>
      </c>
      <c r="D203" s="6" t="s">
        <v>21</v>
      </c>
      <c r="E203" s="6" t="s">
        <v>32</v>
      </c>
      <c r="F203" s="6" t="s">
        <v>28</v>
      </c>
      <c r="G203" s="6" t="s">
        <v>23</v>
      </c>
      <c r="H203" s="7">
        <v>45124.0</v>
      </c>
      <c r="I203" s="8">
        <v>449.0</v>
      </c>
      <c r="J203" s="8">
        <v>424.35</v>
      </c>
      <c r="K203" s="8">
        <v>269.24</v>
      </c>
      <c r="L203" s="29">
        <f t="shared" si="1"/>
        <v>190533.15</v>
      </c>
    </row>
    <row r="204">
      <c r="B204" s="6" t="s">
        <v>240</v>
      </c>
      <c r="C204" s="6" t="s">
        <v>26</v>
      </c>
      <c r="D204" s="6" t="s">
        <v>63</v>
      </c>
      <c r="E204" s="6" t="s">
        <v>22</v>
      </c>
      <c r="F204" s="6" t="s">
        <v>28</v>
      </c>
      <c r="G204" s="6" t="s">
        <v>33</v>
      </c>
      <c r="H204" s="7">
        <v>45125.0</v>
      </c>
      <c r="I204" s="8">
        <v>101.0</v>
      </c>
      <c r="J204" s="8">
        <v>457.55</v>
      </c>
      <c r="K204" s="8">
        <v>128.14</v>
      </c>
      <c r="L204" s="29">
        <f t="shared" si="1"/>
        <v>46212.55</v>
      </c>
    </row>
    <row r="205">
      <c r="B205" s="6" t="s">
        <v>241</v>
      </c>
      <c r="C205" s="6" t="s">
        <v>14</v>
      </c>
      <c r="D205" s="6" t="s">
        <v>31</v>
      </c>
      <c r="E205" s="6" t="s">
        <v>32</v>
      </c>
      <c r="F205" s="6" t="s">
        <v>17</v>
      </c>
      <c r="G205" s="6" t="s">
        <v>23</v>
      </c>
      <c r="H205" s="7">
        <v>45126.0</v>
      </c>
      <c r="I205" s="6"/>
      <c r="J205" s="8">
        <v>407.81</v>
      </c>
      <c r="K205" s="8">
        <v>351.95</v>
      </c>
      <c r="L205" s="29">
        <f t="shared" si="1"/>
        <v>0</v>
      </c>
    </row>
    <row r="206">
      <c r="B206" s="6" t="s">
        <v>242</v>
      </c>
      <c r="C206" s="6" t="s">
        <v>14</v>
      </c>
      <c r="D206" s="6" t="s">
        <v>31</v>
      </c>
      <c r="E206" s="6" t="s">
        <v>16</v>
      </c>
      <c r="F206" s="6" t="s">
        <v>28</v>
      </c>
      <c r="G206" s="6" t="s">
        <v>23</v>
      </c>
      <c r="H206" s="7">
        <v>45127.0</v>
      </c>
      <c r="I206" s="8">
        <v>30.0</v>
      </c>
      <c r="J206" s="8">
        <v>58.91</v>
      </c>
      <c r="K206" s="8">
        <v>104.86</v>
      </c>
      <c r="L206" s="29">
        <f t="shared" si="1"/>
        <v>1767.3</v>
      </c>
    </row>
    <row r="207">
      <c r="B207" s="6" t="s">
        <v>243</v>
      </c>
      <c r="C207" s="6" t="s">
        <v>20</v>
      </c>
      <c r="D207" s="6" t="s">
        <v>63</v>
      </c>
      <c r="E207" s="6" t="s">
        <v>16</v>
      </c>
      <c r="F207" s="6" t="s">
        <v>17</v>
      </c>
      <c r="G207" s="6" t="s">
        <v>33</v>
      </c>
      <c r="H207" s="7">
        <v>45128.0</v>
      </c>
      <c r="I207" s="8">
        <v>312.0</v>
      </c>
      <c r="J207" s="8">
        <v>78.75</v>
      </c>
      <c r="K207" s="8">
        <v>218.52</v>
      </c>
      <c r="L207" s="29">
        <f t="shared" si="1"/>
        <v>24570</v>
      </c>
    </row>
    <row r="208">
      <c r="B208" s="6" t="s">
        <v>244</v>
      </c>
      <c r="C208" s="6" t="s">
        <v>14</v>
      </c>
      <c r="D208" s="6" t="s">
        <v>15</v>
      </c>
      <c r="E208" s="6" t="s">
        <v>55</v>
      </c>
      <c r="F208" s="6" t="s">
        <v>28</v>
      </c>
      <c r="G208" s="6" t="s">
        <v>23</v>
      </c>
      <c r="H208" s="7">
        <v>45129.0</v>
      </c>
      <c r="I208" s="8">
        <v>473.0</v>
      </c>
      <c r="J208" s="8">
        <v>265.68</v>
      </c>
      <c r="K208" s="8">
        <v>255.16</v>
      </c>
      <c r="L208" s="29">
        <f t="shared" si="1"/>
        <v>125666.64</v>
      </c>
    </row>
    <row r="209">
      <c r="B209" s="6" t="s">
        <v>245</v>
      </c>
      <c r="C209" s="6" t="s">
        <v>26</v>
      </c>
      <c r="D209" s="6" t="s">
        <v>31</v>
      </c>
      <c r="E209" s="6" t="s">
        <v>16</v>
      </c>
      <c r="F209" s="6" t="s">
        <v>17</v>
      </c>
      <c r="G209" s="6" t="s">
        <v>33</v>
      </c>
      <c r="H209" s="7">
        <v>45130.0</v>
      </c>
      <c r="I209" s="8">
        <v>366.0</v>
      </c>
      <c r="J209" s="8">
        <v>126.8</v>
      </c>
      <c r="K209" s="8">
        <v>89.98</v>
      </c>
      <c r="L209" s="29">
        <f t="shared" si="1"/>
        <v>46408.8</v>
      </c>
    </row>
    <row r="210">
      <c r="B210" s="6" t="s">
        <v>246</v>
      </c>
      <c r="C210" s="6" t="s">
        <v>20</v>
      </c>
      <c r="D210" s="6" t="s">
        <v>15</v>
      </c>
      <c r="E210" s="6" t="s">
        <v>55</v>
      </c>
      <c r="F210" s="6" t="s">
        <v>17</v>
      </c>
      <c r="G210" s="6" t="s">
        <v>23</v>
      </c>
      <c r="H210" s="7">
        <v>45131.0</v>
      </c>
      <c r="I210" s="8">
        <v>452.0</v>
      </c>
      <c r="J210" s="8">
        <v>240.96</v>
      </c>
      <c r="K210" s="8">
        <v>391.4</v>
      </c>
      <c r="L210" s="29">
        <f t="shared" si="1"/>
        <v>108913.92</v>
      </c>
    </row>
    <row r="211">
      <c r="B211" s="6" t="s">
        <v>247</v>
      </c>
      <c r="C211" s="6" t="s">
        <v>26</v>
      </c>
      <c r="D211" s="6" t="s">
        <v>31</v>
      </c>
      <c r="E211" s="6" t="s">
        <v>22</v>
      </c>
      <c r="F211" s="6" t="s">
        <v>28</v>
      </c>
      <c r="G211" s="6" t="s">
        <v>18</v>
      </c>
      <c r="H211" s="7">
        <v>45132.0</v>
      </c>
      <c r="I211" s="8">
        <v>93.0</v>
      </c>
      <c r="J211" s="8">
        <v>200.21</v>
      </c>
      <c r="K211" s="8">
        <v>299.78</v>
      </c>
      <c r="L211" s="29">
        <f t="shared" si="1"/>
        <v>18619.53</v>
      </c>
    </row>
    <row r="212">
      <c r="B212" s="6" t="s">
        <v>248</v>
      </c>
      <c r="C212" s="6" t="s">
        <v>20</v>
      </c>
      <c r="D212" s="6" t="s">
        <v>31</v>
      </c>
      <c r="E212" s="6" t="s">
        <v>32</v>
      </c>
      <c r="F212" s="6" t="s">
        <v>17</v>
      </c>
      <c r="G212" s="6" t="s">
        <v>33</v>
      </c>
      <c r="H212" s="7">
        <v>45133.0</v>
      </c>
      <c r="I212" s="8">
        <v>271.0</v>
      </c>
      <c r="J212" s="8">
        <v>276.96</v>
      </c>
      <c r="K212" s="8">
        <v>224.01</v>
      </c>
      <c r="L212" s="29">
        <f t="shared" si="1"/>
        <v>75056.16</v>
      </c>
    </row>
    <row r="213">
      <c r="B213" s="6" t="s">
        <v>249</v>
      </c>
      <c r="C213" s="6" t="s">
        <v>20</v>
      </c>
      <c r="D213" s="6" t="s">
        <v>39</v>
      </c>
      <c r="E213" s="6" t="s">
        <v>32</v>
      </c>
      <c r="F213" s="6" t="s">
        <v>17</v>
      </c>
      <c r="G213" s="6" t="s">
        <v>23</v>
      </c>
      <c r="H213" s="7">
        <v>45134.0</v>
      </c>
      <c r="I213" s="8">
        <v>156.0</v>
      </c>
      <c r="J213" s="8">
        <v>374.7</v>
      </c>
      <c r="K213" s="8">
        <v>73.88</v>
      </c>
      <c r="L213" s="29">
        <f t="shared" si="1"/>
        <v>58453.2</v>
      </c>
    </row>
    <row r="214">
      <c r="B214" s="6" t="s">
        <v>250</v>
      </c>
      <c r="C214" s="6" t="s">
        <v>61</v>
      </c>
      <c r="D214" s="6" t="s">
        <v>31</v>
      </c>
      <c r="E214" s="6" t="s">
        <v>55</v>
      </c>
      <c r="F214" s="6" t="s">
        <v>28</v>
      </c>
      <c r="G214" s="6" t="s">
        <v>23</v>
      </c>
      <c r="H214" s="7">
        <v>45135.0</v>
      </c>
      <c r="I214" s="8">
        <v>450.0</v>
      </c>
      <c r="J214" s="8">
        <v>359.17</v>
      </c>
      <c r="K214" s="8">
        <v>23.44</v>
      </c>
      <c r="L214" s="29">
        <f t="shared" si="1"/>
        <v>161626.5</v>
      </c>
    </row>
    <row r="215">
      <c r="B215" s="6" t="s">
        <v>251</v>
      </c>
      <c r="C215" s="6" t="s">
        <v>26</v>
      </c>
      <c r="D215" s="6" t="s">
        <v>21</v>
      </c>
      <c r="E215" s="6" t="s">
        <v>32</v>
      </c>
      <c r="F215" s="6" t="s">
        <v>17</v>
      </c>
      <c r="G215" s="6" t="s">
        <v>18</v>
      </c>
      <c r="H215" s="7">
        <v>45136.0</v>
      </c>
      <c r="I215" s="8">
        <v>462.0</v>
      </c>
      <c r="J215" s="8">
        <v>263.01</v>
      </c>
      <c r="K215" s="8">
        <v>129.38</v>
      </c>
      <c r="L215" s="29">
        <f t="shared" si="1"/>
        <v>121510.62</v>
      </c>
    </row>
    <row r="216">
      <c r="B216" s="6" t="s">
        <v>252</v>
      </c>
      <c r="C216" s="6" t="s">
        <v>14</v>
      </c>
      <c r="D216" s="6" t="s">
        <v>63</v>
      </c>
      <c r="E216" s="6"/>
      <c r="F216" s="6" t="s">
        <v>17</v>
      </c>
      <c r="G216" s="6" t="s">
        <v>33</v>
      </c>
      <c r="H216" s="7">
        <v>45137.0</v>
      </c>
      <c r="I216" s="8">
        <v>396.0</v>
      </c>
      <c r="J216" s="8">
        <v>412.08</v>
      </c>
      <c r="K216" s="8">
        <v>301.77</v>
      </c>
      <c r="L216" s="29">
        <f t="shared" si="1"/>
        <v>163183.68</v>
      </c>
    </row>
    <row r="217">
      <c r="B217" s="6" t="s">
        <v>253</v>
      </c>
      <c r="C217" s="6" t="s">
        <v>14</v>
      </c>
      <c r="D217" s="6" t="s">
        <v>63</v>
      </c>
      <c r="E217" s="6" t="s">
        <v>27</v>
      </c>
      <c r="F217" s="6" t="s">
        <v>28</v>
      </c>
      <c r="G217" s="6" t="s">
        <v>23</v>
      </c>
      <c r="H217" s="7">
        <v>45138.0</v>
      </c>
      <c r="I217" s="8">
        <v>266.0</v>
      </c>
      <c r="J217" s="8">
        <v>218.28</v>
      </c>
      <c r="K217" s="8">
        <v>109.19</v>
      </c>
      <c r="L217" s="29">
        <f t="shared" si="1"/>
        <v>58062.48</v>
      </c>
    </row>
    <row r="218">
      <c r="B218" s="6" t="s">
        <v>254</v>
      </c>
      <c r="C218" s="6" t="s">
        <v>26</v>
      </c>
      <c r="D218" s="6" t="s">
        <v>15</v>
      </c>
      <c r="E218" s="6" t="s">
        <v>55</v>
      </c>
      <c r="F218" s="6" t="s">
        <v>28</v>
      </c>
      <c r="G218" s="6" t="s">
        <v>18</v>
      </c>
      <c r="H218" s="7">
        <v>45139.0</v>
      </c>
      <c r="I218" s="8">
        <v>67.0</v>
      </c>
      <c r="J218" s="8">
        <v>448.87</v>
      </c>
      <c r="K218" s="8">
        <v>216.74</v>
      </c>
      <c r="L218" s="29">
        <f t="shared" si="1"/>
        <v>30074.29</v>
      </c>
    </row>
    <row r="219">
      <c r="B219" s="6" t="s">
        <v>255</v>
      </c>
      <c r="C219" s="6" t="s">
        <v>14</v>
      </c>
      <c r="D219" s="6" t="s">
        <v>31</v>
      </c>
      <c r="E219" s="6" t="s">
        <v>32</v>
      </c>
      <c r="F219" s="6" t="s">
        <v>17</v>
      </c>
      <c r="G219" s="6" t="s">
        <v>23</v>
      </c>
      <c r="H219" s="7">
        <v>45140.0</v>
      </c>
      <c r="I219" s="8">
        <v>389.0</v>
      </c>
      <c r="J219" s="8">
        <v>40.28</v>
      </c>
      <c r="K219" s="8">
        <v>291.72</v>
      </c>
      <c r="L219" s="29">
        <f t="shared" si="1"/>
        <v>15668.92</v>
      </c>
    </row>
    <row r="220">
      <c r="B220" s="6" t="s">
        <v>256</v>
      </c>
      <c r="C220" s="6" t="s">
        <v>14</v>
      </c>
      <c r="D220" s="6" t="s">
        <v>21</v>
      </c>
      <c r="E220" s="6" t="s">
        <v>55</v>
      </c>
      <c r="F220" s="6" t="s">
        <v>17</v>
      </c>
      <c r="G220" s="6" t="s">
        <v>33</v>
      </c>
      <c r="H220" s="7">
        <v>45141.0</v>
      </c>
      <c r="I220" s="8">
        <v>431.0</v>
      </c>
      <c r="J220" s="8">
        <v>477.56</v>
      </c>
      <c r="K220" s="8">
        <v>44.96</v>
      </c>
      <c r="L220" s="29">
        <f t="shared" si="1"/>
        <v>205828.36</v>
      </c>
    </row>
    <row r="221">
      <c r="B221" s="6" t="s">
        <v>257</v>
      </c>
      <c r="C221" s="6" t="s">
        <v>26</v>
      </c>
      <c r="D221" s="6" t="s">
        <v>15</v>
      </c>
      <c r="E221" s="6" t="s">
        <v>55</v>
      </c>
      <c r="F221" s="6" t="s">
        <v>28</v>
      </c>
      <c r="G221" s="6" t="s">
        <v>23</v>
      </c>
      <c r="H221" s="7">
        <v>45142.0</v>
      </c>
      <c r="I221" s="8">
        <v>24.0</v>
      </c>
      <c r="J221" s="8">
        <v>329.07</v>
      </c>
      <c r="K221" s="8">
        <v>274.75</v>
      </c>
      <c r="L221" s="29">
        <f t="shared" si="1"/>
        <v>7897.68</v>
      </c>
    </row>
    <row r="222">
      <c r="B222" s="6" t="s">
        <v>258</v>
      </c>
      <c r="C222" s="6" t="s">
        <v>20</v>
      </c>
      <c r="D222" s="6" t="s">
        <v>39</v>
      </c>
      <c r="E222" s="6" t="s">
        <v>27</v>
      </c>
      <c r="F222" s="6" t="s">
        <v>28</v>
      </c>
      <c r="G222" s="6" t="s">
        <v>23</v>
      </c>
      <c r="H222" s="7">
        <v>45143.0</v>
      </c>
      <c r="I222" s="8">
        <v>171.0</v>
      </c>
      <c r="J222" s="8">
        <v>193.14</v>
      </c>
      <c r="K222" s="8">
        <v>38.56</v>
      </c>
      <c r="L222" s="29">
        <f t="shared" si="1"/>
        <v>33026.94</v>
      </c>
    </row>
    <row r="223">
      <c r="B223" s="6" t="s">
        <v>259</v>
      </c>
      <c r="C223" s="6" t="s">
        <v>26</v>
      </c>
      <c r="D223" s="6" t="s">
        <v>15</v>
      </c>
      <c r="E223" s="6" t="s">
        <v>16</v>
      </c>
      <c r="F223" s="6" t="s">
        <v>17</v>
      </c>
      <c r="G223" s="6" t="s">
        <v>23</v>
      </c>
      <c r="H223" s="7">
        <v>45144.0</v>
      </c>
      <c r="I223" s="8">
        <v>454.0</v>
      </c>
      <c r="J223" s="8">
        <v>102.59</v>
      </c>
      <c r="K223" s="8">
        <v>386.12</v>
      </c>
      <c r="L223" s="29">
        <f t="shared" si="1"/>
        <v>46575.86</v>
      </c>
    </row>
    <row r="224">
      <c r="B224" s="6" t="s">
        <v>260</v>
      </c>
      <c r="C224" s="6" t="s">
        <v>20</v>
      </c>
      <c r="D224" s="6" t="s">
        <v>15</v>
      </c>
      <c r="E224" s="6" t="s">
        <v>55</v>
      </c>
      <c r="F224" s="6" t="s">
        <v>28</v>
      </c>
      <c r="G224" s="6" t="s">
        <v>23</v>
      </c>
      <c r="H224" s="7">
        <v>45145.0</v>
      </c>
      <c r="I224" s="8">
        <v>172.0</v>
      </c>
      <c r="J224" s="8">
        <v>242.2</v>
      </c>
      <c r="K224" s="8">
        <v>196.38</v>
      </c>
      <c r="L224" s="29">
        <f t="shared" si="1"/>
        <v>41658.4</v>
      </c>
    </row>
    <row r="225">
      <c r="B225" s="6" t="s">
        <v>261</v>
      </c>
      <c r="C225" s="6" t="s">
        <v>14</v>
      </c>
      <c r="D225" s="6" t="s">
        <v>31</v>
      </c>
      <c r="E225" s="6" t="s">
        <v>32</v>
      </c>
      <c r="F225" s="6" t="s">
        <v>17</v>
      </c>
      <c r="G225" s="6" t="s">
        <v>18</v>
      </c>
      <c r="H225" s="7">
        <v>45146.0</v>
      </c>
      <c r="I225" s="8">
        <v>329.0</v>
      </c>
      <c r="J225" s="8">
        <v>101.31</v>
      </c>
      <c r="K225" s="8">
        <v>61.97</v>
      </c>
      <c r="L225" s="29">
        <f t="shared" si="1"/>
        <v>33330.99</v>
      </c>
    </row>
    <row r="226">
      <c r="B226" s="6" t="s">
        <v>262</v>
      </c>
      <c r="C226" s="6" t="s">
        <v>14</v>
      </c>
      <c r="D226" s="6" t="s">
        <v>39</v>
      </c>
      <c r="E226" s="6" t="s">
        <v>22</v>
      </c>
      <c r="F226" s="6" t="s">
        <v>17</v>
      </c>
      <c r="G226" s="6" t="s">
        <v>18</v>
      </c>
      <c r="H226" s="7">
        <v>45147.0</v>
      </c>
      <c r="I226" s="8">
        <v>290.0</v>
      </c>
      <c r="J226" s="8">
        <v>87.33</v>
      </c>
      <c r="K226" s="8">
        <v>138.27</v>
      </c>
      <c r="L226" s="29">
        <f t="shared" si="1"/>
        <v>25325.7</v>
      </c>
    </row>
    <row r="227">
      <c r="B227" s="6" t="s">
        <v>263</v>
      </c>
      <c r="C227" s="6"/>
      <c r="D227" s="6" t="s">
        <v>15</v>
      </c>
      <c r="E227" s="6" t="s">
        <v>55</v>
      </c>
      <c r="F227" s="6" t="s">
        <v>17</v>
      </c>
      <c r="G227" s="6" t="s">
        <v>33</v>
      </c>
      <c r="H227" s="7">
        <v>45148.0</v>
      </c>
      <c r="I227" s="8">
        <v>289.0</v>
      </c>
      <c r="J227" s="8">
        <v>310.59</v>
      </c>
      <c r="K227" s="8">
        <v>166.54</v>
      </c>
      <c r="L227" s="29">
        <f t="shared" si="1"/>
        <v>89760.51</v>
      </c>
    </row>
    <row r="228">
      <c r="B228" s="6" t="s">
        <v>264</v>
      </c>
      <c r="C228" s="6" t="s">
        <v>61</v>
      </c>
      <c r="D228" s="6" t="s">
        <v>21</v>
      </c>
      <c r="E228" s="6" t="s">
        <v>55</v>
      </c>
      <c r="F228" s="6" t="s">
        <v>17</v>
      </c>
      <c r="G228" s="6" t="s">
        <v>18</v>
      </c>
      <c r="H228" s="7">
        <v>45149.0</v>
      </c>
      <c r="I228" s="8">
        <v>21.0</v>
      </c>
      <c r="J228" s="8">
        <v>263.93</v>
      </c>
      <c r="K228" s="8">
        <v>303.76</v>
      </c>
      <c r="L228" s="29">
        <f t="shared" si="1"/>
        <v>5542.53</v>
      </c>
    </row>
    <row r="229">
      <c r="B229" s="6" t="s">
        <v>265</v>
      </c>
      <c r="C229" s="6" t="s">
        <v>20</v>
      </c>
      <c r="D229" s="6" t="s">
        <v>21</v>
      </c>
      <c r="E229" s="6" t="s">
        <v>27</v>
      </c>
      <c r="F229" s="6" t="s">
        <v>17</v>
      </c>
      <c r="G229" s="6" t="s">
        <v>18</v>
      </c>
      <c r="H229" s="7">
        <v>45150.0</v>
      </c>
      <c r="I229" s="8">
        <v>283.0</v>
      </c>
      <c r="J229" s="8">
        <v>336.7</v>
      </c>
      <c r="K229" s="8">
        <v>297.88</v>
      </c>
      <c r="L229" s="29">
        <f t="shared" si="1"/>
        <v>95286.1</v>
      </c>
    </row>
    <row r="230">
      <c r="B230" s="6" t="s">
        <v>266</v>
      </c>
      <c r="C230" s="6" t="s">
        <v>61</v>
      </c>
      <c r="D230" s="6" t="s">
        <v>63</v>
      </c>
      <c r="E230" s="6" t="s">
        <v>16</v>
      </c>
      <c r="F230" s="6" t="s">
        <v>28</v>
      </c>
      <c r="G230" s="6" t="s">
        <v>33</v>
      </c>
      <c r="H230" s="7">
        <v>45151.0</v>
      </c>
      <c r="I230" s="8">
        <v>280.0</v>
      </c>
      <c r="J230" s="8">
        <v>465.15</v>
      </c>
      <c r="K230" s="8">
        <v>245.55</v>
      </c>
      <c r="L230" s="29">
        <f t="shared" si="1"/>
        <v>130242</v>
      </c>
    </row>
    <row r="231">
      <c r="B231" s="6" t="s">
        <v>267</v>
      </c>
      <c r="C231" s="6" t="s">
        <v>61</v>
      </c>
      <c r="D231" s="6" t="s">
        <v>39</v>
      </c>
      <c r="E231" s="6" t="s">
        <v>22</v>
      </c>
      <c r="F231" s="6" t="s">
        <v>28</v>
      </c>
      <c r="G231" s="6" t="s">
        <v>18</v>
      </c>
      <c r="H231" s="7">
        <v>45152.0</v>
      </c>
      <c r="I231" s="8">
        <v>217.0</v>
      </c>
      <c r="J231" s="8">
        <v>268.47</v>
      </c>
      <c r="K231" s="8">
        <v>44.16</v>
      </c>
      <c r="L231" s="29">
        <f t="shared" si="1"/>
        <v>58257.99</v>
      </c>
    </row>
    <row r="232">
      <c r="B232" s="6" t="s">
        <v>268</v>
      </c>
      <c r="C232" s="6" t="s">
        <v>26</v>
      </c>
      <c r="D232" s="6" t="s">
        <v>39</v>
      </c>
      <c r="E232" s="6" t="s">
        <v>32</v>
      </c>
      <c r="F232" s="6" t="s">
        <v>28</v>
      </c>
      <c r="G232" s="6" t="s">
        <v>18</v>
      </c>
      <c r="H232" s="7">
        <v>45153.0</v>
      </c>
      <c r="I232" s="8">
        <v>36.0</v>
      </c>
      <c r="J232" s="8">
        <v>292.56</v>
      </c>
      <c r="K232" s="8">
        <v>62.32</v>
      </c>
      <c r="L232" s="29">
        <f t="shared" si="1"/>
        <v>10532.16</v>
      </c>
    </row>
    <row r="233">
      <c r="B233" s="6" t="s">
        <v>269</v>
      </c>
      <c r="C233" s="6" t="s">
        <v>61</v>
      </c>
      <c r="D233" s="6" t="s">
        <v>63</v>
      </c>
      <c r="E233" s="6" t="s">
        <v>22</v>
      </c>
      <c r="F233" s="6" t="s">
        <v>28</v>
      </c>
      <c r="G233" s="6" t="s">
        <v>33</v>
      </c>
      <c r="H233" s="7">
        <v>45154.0</v>
      </c>
      <c r="I233" s="6"/>
      <c r="J233" s="8">
        <v>49.37</v>
      </c>
      <c r="K233" s="8">
        <v>39.32</v>
      </c>
      <c r="L233" s="29">
        <f t="shared" si="1"/>
        <v>0</v>
      </c>
    </row>
    <row r="234">
      <c r="B234" s="6" t="s">
        <v>270</v>
      </c>
      <c r="C234" s="6" t="s">
        <v>26</v>
      </c>
      <c r="D234" s="6" t="s">
        <v>15</v>
      </c>
      <c r="E234" s="6" t="s">
        <v>32</v>
      </c>
      <c r="F234" s="6" t="s">
        <v>17</v>
      </c>
      <c r="G234" s="6" t="s">
        <v>33</v>
      </c>
      <c r="H234" s="7">
        <v>45155.0</v>
      </c>
      <c r="I234" s="8">
        <v>69.0</v>
      </c>
      <c r="J234" s="8">
        <v>360.23</v>
      </c>
      <c r="K234" s="8">
        <v>231.71</v>
      </c>
      <c r="L234" s="29">
        <f t="shared" si="1"/>
        <v>24855.87</v>
      </c>
    </row>
    <row r="235">
      <c r="B235" s="6" t="s">
        <v>271</v>
      </c>
      <c r="C235" s="6" t="s">
        <v>26</v>
      </c>
      <c r="D235" s="6" t="s">
        <v>39</v>
      </c>
      <c r="E235" s="6" t="s">
        <v>16</v>
      </c>
      <c r="F235" s="6" t="s">
        <v>17</v>
      </c>
      <c r="G235" s="6" t="s">
        <v>33</v>
      </c>
      <c r="H235" s="7">
        <v>45156.0</v>
      </c>
      <c r="I235" s="8">
        <v>439.0</v>
      </c>
      <c r="J235" s="8">
        <v>202.95</v>
      </c>
      <c r="K235" s="8">
        <v>351.1</v>
      </c>
      <c r="L235" s="29">
        <f t="shared" si="1"/>
        <v>89095.05</v>
      </c>
    </row>
    <row r="236">
      <c r="B236" s="6" t="s">
        <v>272</v>
      </c>
      <c r="C236" s="6" t="s">
        <v>61</v>
      </c>
      <c r="D236" s="6" t="s">
        <v>21</v>
      </c>
      <c r="E236" s="6" t="s">
        <v>32</v>
      </c>
      <c r="F236" s="6" t="s">
        <v>17</v>
      </c>
      <c r="G236" s="6" t="s">
        <v>23</v>
      </c>
      <c r="H236" s="7">
        <v>45157.0</v>
      </c>
      <c r="I236" s="8">
        <v>482.0</v>
      </c>
      <c r="J236" s="8">
        <v>488.48</v>
      </c>
      <c r="K236" s="8">
        <v>174.65</v>
      </c>
      <c r="L236" s="29">
        <f t="shared" si="1"/>
        <v>235447.36</v>
      </c>
    </row>
    <row r="237">
      <c r="B237" s="6" t="s">
        <v>273</v>
      </c>
      <c r="C237" s="6" t="s">
        <v>20</v>
      </c>
      <c r="D237" s="6" t="s">
        <v>21</v>
      </c>
      <c r="E237" s="6" t="s">
        <v>27</v>
      </c>
      <c r="F237" s="6" t="s">
        <v>17</v>
      </c>
      <c r="G237" s="6" t="s">
        <v>23</v>
      </c>
      <c r="H237" s="7">
        <v>45158.0</v>
      </c>
      <c r="I237" s="8">
        <v>154.0</v>
      </c>
      <c r="J237" s="8">
        <v>412.47</v>
      </c>
      <c r="K237" s="8">
        <v>66.02</v>
      </c>
      <c r="L237" s="29">
        <f t="shared" si="1"/>
        <v>63520.38</v>
      </c>
    </row>
    <row r="238">
      <c r="B238" s="6" t="s">
        <v>274</v>
      </c>
      <c r="C238" s="6" t="s">
        <v>20</v>
      </c>
      <c r="D238" s="6" t="s">
        <v>31</v>
      </c>
      <c r="E238" s="6" t="s">
        <v>27</v>
      </c>
      <c r="F238" s="6" t="s">
        <v>28</v>
      </c>
      <c r="G238" s="6" t="s">
        <v>33</v>
      </c>
      <c r="H238" s="7">
        <v>45159.0</v>
      </c>
      <c r="I238" s="8">
        <v>102.0</v>
      </c>
      <c r="J238" s="8">
        <v>263.63</v>
      </c>
      <c r="K238" s="8">
        <v>224.1</v>
      </c>
      <c r="L238" s="29">
        <f t="shared" si="1"/>
        <v>26890.26</v>
      </c>
    </row>
    <row r="239">
      <c r="B239" s="6" t="s">
        <v>275</v>
      </c>
      <c r="C239" s="6" t="s">
        <v>20</v>
      </c>
      <c r="D239" s="6" t="s">
        <v>39</v>
      </c>
      <c r="E239" s="6" t="s">
        <v>27</v>
      </c>
      <c r="F239" s="6" t="s">
        <v>17</v>
      </c>
      <c r="G239" s="6" t="s">
        <v>33</v>
      </c>
      <c r="H239" s="7">
        <v>45160.0</v>
      </c>
      <c r="I239" s="8">
        <v>318.0</v>
      </c>
      <c r="J239" s="8">
        <v>66.0</v>
      </c>
      <c r="K239" s="8">
        <v>325.08</v>
      </c>
      <c r="L239" s="29">
        <f t="shared" si="1"/>
        <v>20988</v>
      </c>
    </row>
    <row r="240">
      <c r="B240" s="6" t="s">
        <v>276</v>
      </c>
      <c r="C240" s="6" t="s">
        <v>20</v>
      </c>
      <c r="D240" s="6" t="s">
        <v>15</v>
      </c>
      <c r="E240" s="6" t="s">
        <v>27</v>
      </c>
      <c r="F240" s="6" t="s">
        <v>17</v>
      </c>
      <c r="G240" s="6" t="s">
        <v>33</v>
      </c>
      <c r="H240" s="7">
        <v>45161.0</v>
      </c>
      <c r="I240" s="8">
        <v>17.0</v>
      </c>
      <c r="J240" s="8">
        <v>430.41</v>
      </c>
      <c r="K240" s="8">
        <v>297.2</v>
      </c>
      <c r="L240" s="29">
        <f t="shared" si="1"/>
        <v>7316.97</v>
      </c>
    </row>
    <row r="241">
      <c r="B241" s="6" t="s">
        <v>277</v>
      </c>
      <c r="C241" s="6" t="s">
        <v>20</v>
      </c>
      <c r="D241" s="6" t="s">
        <v>63</v>
      </c>
      <c r="E241" s="6" t="s">
        <v>22</v>
      </c>
      <c r="F241" s="6" t="s">
        <v>28</v>
      </c>
      <c r="G241" s="6" t="s">
        <v>23</v>
      </c>
      <c r="H241" s="7">
        <v>45162.0</v>
      </c>
      <c r="I241" s="8">
        <v>88.0</v>
      </c>
      <c r="J241" s="8">
        <v>400.89</v>
      </c>
      <c r="K241" s="8">
        <v>352.82</v>
      </c>
      <c r="L241" s="29">
        <f t="shared" si="1"/>
        <v>35278.32</v>
      </c>
    </row>
    <row r="242">
      <c r="B242" s="6" t="s">
        <v>278</v>
      </c>
      <c r="C242" s="6" t="s">
        <v>61</v>
      </c>
      <c r="D242" s="6" t="s">
        <v>63</v>
      </c>
      <c r="E242" s="6" t="s">
        <v>16</v>
      </c>
      <c r="F242" s="6" t="s">
        <v>28</v>
      </c>
      <c r="G242" s="6" t="s">
        <v>23</v>
      </c>
      <c r="H242" s="7">
        <v>45163.0</v>
      </c>
      <c r="I242" s="8">
        <v>36.0</v>
      </c>
      <c r="J242" s="8">
        <v>96.37</v>
      </c>
      <c r="K242" s="8">
        <v>112.61</v>
      </c>
      <c r="L242" s="29">
        <f t="shared" si="1"/>
        <v>3469.32</v>
      </c>
    </row>
    <row r="243">
      <c r="B243" s="6" t="s">
        <v>279</v>
      </c>
      <c r="C243" s="6" t="s">
        <v>61</v>
      </c>
      <c r="D243" s="6" t="s">
        <v>15</v>
      </c>
      <c r="E243" s="6" t="s">
        <v>32</v>
      </c>
      <c r="F243" s="6" t="s">
        <v>28</v>
      </c>
      <c r="G243" s="6" t="s">
        <v>18</v>
      </c>
      <c r="H243" s="7">
        <v>45164.0</v>
      </c>
      <c r="I243" s="8">
        <v>183.0</v>
      </c>
      <c r="J243" s="8">
        <v>151.16</v>
      </c>
      <c r="K243" s="8">
        <v>79.19</v>
      </c>
      <c r="L243" s="29">
        <f t="shared" si="1"/>
        <v>27662.28</v>
      </c>
    </row>
    <row r="244">
      <c r="B244" s="6" t="s">
        <v>280</v>
      </c>
      <c r="C244" s="6" t="s">
        <v>14</v>
      </c>
      <c r="D244" s="6" t="s">
        <v>31</v>
      </c>
      <c r="E244" s="6" t="s">
        <v>32</v>
      </c>
      <c r="F244" s="6" t="s">
        <v>28</v>
      </c>
      <c r="G244" s="6" t="s">
        <v>18</v>
      </c>
      <c r="H244" s="7">
        <v>45165.0</v>
      </c>
      <c r="I244" s="8">
        <v>59.0</v>
      </c>
      <c r="J244" s="8">
        <v>397.74</v>
      </c>
      <c r="K244" s="8">
        <v>352.17</v>
      </c>
      <c r="L244" s="29">
        <f t="shared" si="1"/>
        <v>23466.66</v>
      </c>
    </row>
    <row r="245">
      <c r="B245" s="6" t="s">
        <v>281</v>
      </c>
      <c r="C245" s="6" t="s">
        <v>20</v>
      </c>
      <c r="D245" s="6" t="s">
        <v>63</v>
      </c>
      <c r="E245" s="6" t="s">
        <v>27</v>
      </c>
      <c r="F245" s="6" t="s">
        <v>17</v>
      </c>
      <c r="G245" s="6" t="s">
        <v>33</v>
      </c>
      <c r="H245" s="7">
        <v>45166.0</v>
      </c>
      <c r="I245" s="8">
        <v>208.0</v>
      </c>
      <c r="J245" s="8">
        <v>96.69</v>
      </c>
      <c r="K245" s="8">
        <v>263.71</v>
      </c>
      <c r="L245" s="29">
        <f t="shared" si="1"/>
        <v>20111.52</v>
      </c>
    </row>
    <row r="246">
      <c r="B246" s="6" t="s">
        <v>282</v>
      </c>
      <c r="C246" s="6" t="s">
        <v>61</v>
      </c>
      <c r="D246" s="6" t="s">
        <v>39</v>
      </c>
      <c r="E246" s="6" t="s">
        <v>27</v>
      </c>
      <c r="F246" s="6" t="s">
        <v>17</v>
      </c>
      <c r="G246" s="6" t="s">
        <v>23</v>
      </c>
      <c r="H246" s="7">
        <v>45167.0</v>
      </c>
      <c r="I246" s="8">
        <v>396.0</v>
      </c>
      <c r="J246" s="8">
        <v>459.29</v>
      </c>
      <c r="K246" s="8">
        <v>125.75</v>
      </c>
      <c r="L246" s="29">
        <f t="shared" si="1"/>
        <v>181878.84</v>
      </c>
    </row>
    <row r="247">
      <c r="B247" s="6" t="s">
        <v>283</v>
      </c>
      <c r="C247" s="6" t="s">
        <v>14</v>
      </c>
      <c r="D247" s="6" t="s">
        <v>31</v>
      </c>
      <c r="E247" s="6" t="s">
        <v>55</v>
      </c>
      <c r="F247" s="6" t="s">
        <v>28</v>
      </c>
      <c r="G247" s="6" t="s">
        <v>23</v>
      </c>
      <c r="H247" s="7">
        <v>45168.0</v>
      </c>
      <c r="I247" s="8">
        <v>358.0</v>
      </c>
      <c r="J247" s="8">
        <v>215.14</v>
      </c>
      <c r="K247" s="8">
        <v>297.45</v>
      </c>
      <c r="L247" s="29">
        <f t="shared" si="1"/>
        <v>77020.12</v>
      </c>
    </row>
    <row r="248">
      <c r="B248" s="6" t="s">
        <v>284</v>
      </c>
      <c r="C248" s="6" t="s">
        <v>20</v>
      </c>
      <c r="D248" s="6" t="s">
        <v>39</v>
      </c>
      <c r="E248" s="6" t="s">
        <v>16</v>
      </c>
      <c r="F248" s="6" t="s">
        <v>17</v>
      </c>
      <c r="G248" s="6" t="s">
        <v>23</v>
      </c>
      <c r="H248" s="7">
        <v>45169.0</v>
      </c>
      <c r="I248" s="8">
        <v>457.0</v>
      </c>
      <c r="J248" s="8">
        <v>48.08</v>
      </c>
      <c r="K248" s="8">
        <v>326.42</v>
      </c>
      <c r="L248" s="29">
        <f t="shared" si="1"/>
        <v>21972.56</v>
      </c>
    </row>
    <row r="249">
      <c r="B249" s="6" t="s">
        <v>285</v>
      </c>
      <c r="C249" s="6" t="s">
        <v>26</v>
      </c>
      <c r="D249" s="6" t="s">
        <v>21</v>
      </c>
      <c r="E249" s="6" t="s">
        <v>22</v>
      </c>
      <c r="F249" s="6" t="s">
        <v>17</v>
      </c>
      <c r="G249" s="6" t="s">
        <v>33</v>
      </c>
      <c r="H249" s="7">
        <v>45170.0</v>
      </c>
      <c r="I249" s="8">
        <v>437.0</v>
      </c>
      <c r="J249" s="8">
        <v>408.8</v>
      </c>
      <c r="K249" s="8">
        <v>246.76</v>
      </c>
      <c r="L249" s="29">
        <f t="shared" si="1"/>
        <v>178645.6</v>
      </c>
    </row>
    <row r="250">
      <c r="B250" s="6" t="s">
        <v>286</v>
      </c>
      <c r="C250" s="6" t="s">
        <v>14</v>
      </c>
      <c r="D250" s="6" t="s">
        <v>31</v>
      </c>
      <c r="E250" s="6" t="s">
        <v>32</v>
      </c>
      <c r="F250" s="6" t="s">
        <v>17</v>
      </c>
      <c r="G250" s="6" t="s">
        <v>18</v>
      </c>
      <c r="H250" s="7">
        <v>45171.0</v>
      </c>
      <c r="I250" s="8">
        <v>190.0</v>
      </c>
      <c r="J250" s="8">
        <v>189.89</v>
      </c>
      <c r="K250" s="8">
        <v>275.78</v>
      </c>
      <c r="L250" s="29">
        <f t="shared" si="1"/>
        <v>36079.1</v>
      </c>
    </row>
    <row r="251">
      <c r="B251" s="6" t="s">
        <v>287</v>
      </c>
      <c r="C251" s="6" t="s">
        <v>61</v>
      </c>
      <c r="D251" s="6" t="s">
        <v>63</v>
      </c>
      <c r="E251" s="6" t="s">
        <v>55</v>
      </c>
      <c r="F251" s="6" t="s">
        <v>28</v>
      </c>
      <c r="G251" s="6" t="s">
        <v>33</v>
      </c>
      <c r="H251" s="7">
        <v>45172.0</v>
      </c>
      <c r="I251" s="8">
        <v>33.0</v>
      </c>
      <c r="J251" s="8">
        <v>265.62</v>
      </c>
      <c r="K251" s="8">
        <v>151.35</v>
      </c>
      <c r="L251" s="29">
        <f t="shared" si="1"/>
        <v>8765.46</v>
      </c>
    </row>
    <row r="252">
      <c r="B252" s="6" t="s">
        <v>288</v>
      </c>
      <c r="C252" s="6" t="s">
        <v>26</v>
      </c>
      <c r="D252" s="6" t="s">
        <v>31</v>
      </c>
      <c r="E252" s="6" t="s">
        <v>55</v>
      </c>
      <c r="F252" s="6" t="s">
        <v>17</v>
      </c>
      <c r="G252" s="6" t="s">
        <v>18</v>
      </c>
      <c r="H252" s="7">
        <v>45173.0</v>
      </c>
      <c r="I252" s="8">
        <v>325.0</v>
      </c>
      <c r="J252" s="8">
        <v>60.59</v>
      </c>
      <c r="K252" s="8">
        <v>216.4</v>
      </c>
      <c r="L252" s="29">
        <f t="shared" si="1"/>
        <v>19691.75</v>
      </c>
    </row>
    <row r="253">
      <c r="B253" s="6" t="s">
        <v>289</v>
      </c>
      <c r="C253" s="6" t="s">
        <v>26</v>
      </c>
      <c r="D253" s="6" t="s">
        <v>31</v>
      </c>
      <c r="E253" s="6" t="s">
        <v>32</v>
      </c>
      <c r="F253" s="6" t="s">
        <v>28</v>
      </c>
      <c r="G253" s="6" t="s">
        <v>18</v>
      </c>
      <c r="H253" s="7">
        <v>45174.0</v>
      </c>
      <c r="I253" s="8">
        <v>387.0</v>
      </c>
      <c r="J253" s="8">
        <v>6.28</v>
      </c>
      <c r="K253" s="8">
        <v>210.62</v>
      </c>
      <c r="L253" s="29">
        <f t="shared" si="1"/>
        <v>2430.36</v>
      </c>
    </row>
    <row r="254">
      <c r="B254" s="6" t="s">
        <v>290</v>
      </c>
      <c r="C254" s="6" t="s">
        <v>26</v>
      </c>
      <c r="D254" s="6" t="s">
        <v>31</v>
      </c>
      <c r="E254" s="6" t="s">
        <v>22</v>
      </c>
      <c r="F254" s="6" t="s">
        <v>17</v>
      </c>
      <c r="G254" s="6" t="s">
        <v>33</v>
      </c>
      <c r="H254" s="7">
        <v>45175.0</v>
      </c>
      <c r="I254" s="8">
        <v>396.0</v>
      </c>
      <c r="J254" s="8">
        <v>320.8</v>
      </c>
      <c r="K254" s="8">
        <v>339.52</v>
      </c>
      <c r="L254" s="29">
        <f t="shared" si="1"/>
        <v>127036.8</v>
      </c>
    </row>
    <row r="255">
      <c r="B255" s="6" t="s">
        <v>291</v>
      </c>
      <c r="C255" s="6" t="s">
        <v>14</v>
      </c>
      <c r="D255" s="6" t="s">
        <v>31</v>
      </c>
      <c r="E255" s="6" t="s">
        <v>55</v>
      </c>
      <c r="F255" s="6" t="s">
        <v>17</v>
      </c>
      <c r="G255" s="6" t="s">
        <v>18</v>
      </c>
      <c r="H255" s="7">
        <v>45176.0</v>
      </c>
      <c r="I255" s="8">
        <v>413.0</v>
      </c>
      <c r="J255" s="8">
        <v>260.01</v>
      </c>
      <c r="K255" s="8">
        <v>336.31</v>
      </c>
      <c r="L255" s="29">
        <f t="shared" si="1"/>
        <v>107384.13</v>
      </c>
    </row>
    <row r="256">
      <c r="B256" s="6" t="s">
        <v>292</v>
      </c>
      <c r="C256" s="6" t="s">
        <v>61</v>
      </c>
      <c r="D256" s="6" t="s">
        <v>39</v>
      </c>
      <c r="E256" s="6" t="s">
        <v>55</v>
      </c>
      <c r="F256" s="6" t="s">
        <v>17</v>
      </c>
      <c r="G256" s="6" t="s">
        <v>18</v>
      </c>
      <c r="H256" s="7">
        <v>45177.0</v>
      </c>
      <c r="I256" s="6"/>
      <c r="J256" s="8">
        <v>298.8</v>
      </c>
      <c r="K256" s="8">
        <v>333.41</v>
      </c>
      <c r="L256" s="29">
        <f t="shared" si="1"/>
        <v>0</v>
      </c>
    </row>
    <row r="257">
      <c r="B257" s="6" t="s">
        <v>293</v>
      </c>
      <c r="C257" s="6" t="s">
        <v>26</v>
      </c>
      <c r="D257" s="6" t="s">
        <v>21</v>
      </c>
      <c r="E257" s="6" t="s">
        <v>16</v>
      </c>
      <c r="F257" s="6" t="s">
        <v>28</v>
      </c>
      <c r="G257" s="6" t="s">
        <v>23</v>
      </c>
      <c r="H257" s="7">
        <v>45178.0</v>
      </c>
      <c r="I257" s="8">
        <v>24.0</v>
      </c>
      <c r="J257" s="8">
        <v>397.9</v>
      </c>
      <c r="K257" s="8">
        <v>6.39</v>
      </c>
      <c r="L257" s="29">
        <f t="shared" si="1"/>
        <v>9549.6</v>
      </c>
    </row>
    <row r="258">
      <c r="B258" s="6" t="s">
        <v>294</v>
      </c>
      <c r="C258" s="6" t="s">
        <v>20</v>
      </c>
      <c r="D258" s="6" t="s">
        <v>15</v>
      </c>
      <c r="E258" s="6"/>
      <c r="F258" s="6" t="s">
        <v>17</v>
      </c>
      <c r="G258" s="6" t="s">
        <v>18</v>
      </c>
      <c r="H258" s="7">
        <v>45179.0</v>
      </c>
      <c r="I258" s="8">
        <v>162.0</v>
      </c>
      <c r="J258" s="8">
        <v>325.07</v>
      </c>
      <c r="K258" s="8">
        <v>300.32</v>
      </c>
      <c r="L258" s="29">
        <f t="shared" si="1"/>
        <v>52661.34</v>
      </c>
    </row>
    <row r="259">
      <c r="B259" s="6" t="s">
        <v>295</v>
      </c>
      <c r="C259" s="6" t="s">
        <v>26</v>
      </c>
      <c r="D259" s="6" t="s">
        <v>31</v>
      </c>
      <c r="E259" s="6" t="s">
        <v>55</v>
      </c>
      <c r="F259" s="6" t="s">
        <v>28</v>
      </c>
      <c r="G259" s="6" t="s">
        <v>33</v>
      </c>
      <c r="H259" s="7">
        <v>45180.0</v>
      </c>
      <c r="I259" s="8">
        <v>231.0</v>
      </c>
      <c r="J259" s="8">
        <v>91.51</v>
      </c>
      <c r="K259" s="8">
        <v>303.95</v>
      </c>
      <c r="L259" s="29">
        <f t="shared" si="1"/>
        <v>21138.81</v>
      </c>
    </row>
    <row r="260">
      <c r="B260" s="6" t="s">
        <v>296</v>
      </c>
      <c r="C260" s="6" t="s">
        <v>26</v>
      </c>
      <c r="D260" s="6" t="s">
        <v>63</v>
      </c>
      <c r="E260" s="6" t="s">
        <v>22</v>
      </c>
      <c r="F260" s="6" t="s">
        <v>28</v>
      </c>
      <c r="G260" s="6" t="s">
        <v>33</v>
      </c>
      <c r="H260" s="7">
        <v>45181.0</v>
      </c>
      <c r="I260" s="8">
        <v>215.0</v>
      </c>
      <c r="J260" s="8">
        <v>183.58</v>
      </c>
      <c r="K260" s="8">
        <v>271.99</v>
      </c>
      <c r="L260" s="29">
        <f t="shared" si="1"/>
        <v>39469.7</v>
      </c>
    </row>
    <row r="261">
      <c r="B261" s="6" t="s">
        <v>297</v>
      </c>
      <c r="C261" s="6" t="s">
        <v>14</v>
      </c>
      <c r="D261" s="6" t="s">
        <v>31</v>
      </c>
      <c r="E261" s="6" t="s">
        <v>32</v>
      </c>
      <c r="F261" s="6" t="s">
        <v>28</v>
      </c>
      <c r="G261" s="6" t="s">
        <v>18</v>
      </c>
      <c r="H261" s="7">
        <v>45182.0</v>
      </c>
      <c r="I261" s="8">
        <v>464.0</v>
      </c>
      <c r="J261" s="8">
        <v>453.42</v>
      </c>
      <c r="K261" s="8">
        <v>302.99</v>
      </c>
      <c r="L261" s="29">
        <f t="shared" si="1"/>
        <v>210386.88</v>
      </c>
    </row>
    <row r="262">
      <c r="B262" s="6" t="s">
        <v>298</v>
      </c>
      <c r="C262" s="6" t="s">
        <v>14</v>
      </c>
      <c r="D262" s="6" t="s">
        <v>63</v>
      </c>
      <c r="E262" s="6" t="s">
        <v>27</v>
      </c>
      <c r="F262" s="6" t="s">
        <v>17</v>
      </c>
      <c r="G262" s="6" t="s">
        <v>23</v>
      </c>
      <c r="H262" s="7">
        <v>45183.0</v>
      </c>
      <c r="I262" s="8">
        <v>282.0</v>
      </c>
      <c r="J262" s="6"/>
      <c r="K262" s="8">
        <v>337.1</v>
      </c>
      <c r="L262" s="29">
        <f t="shared" si="1"/>
        <v>0</v>
      </c>
    </row>
    <row r="263">
      <c r="B263" s="6" t="s">
        <v>299</v>
      </c>
      <c r="C263" s="6" t="s">
        <v>61</v>
      </c>
      <c r="D263" s="6" t="s">
        <v>39</v>
      </c>
      <c r="E263" s="6" t="s">
        <v>55</v>
      </c>
      <c r="F263" s="6" t="s">
        <v>17</v>
      </c>
      <c r="G263" s="6" t="s">
        <v>23</v>
      </c>
      <c r="H263" s="7">
        <v>45184.0</v>
      </c>
      <c r="I263" s="8">
        <v>391.0</v>
      </c>
      <c r="J263" s="8">
        <v>280.54</v>
      </c>
      <c r="K263" s="8">
        <v>189.19</v>
      </c>
      <c r="L263" s="29">
        <f t="shared" si="1"/>
        <v>109691.14</v>
      </c>
    </row>
    <row r="264">
      <c r="B264" s="6" t="s">
        <v>300</v>
      </c>
      <c r="C264" s="6" t="s">
        <v>20</v>
      </c>
      <c r="D264" s="6" t="s">
        <v>63</v>
      </c>
      <c r="E264" s="6" t="s">
        <v>16</v>
      </c>
      <c r="F264" s="6" t="s">
        <v>17</v>
      </c>
      <c r="G264" s="6" t="s">
        <v>18</v>
      </c>
      <c r="H264" s="7">
        <v>45185.0</v>
      </c>
      <c r="I264" s="8">
        <v>245.0</v>
      </c>
      <c r="J264" s="8">
        <v>131.54</v>
      </c>
      <c r="K264" s="8">
        <v>201.82</v>
      </c>
      <c r="L264" s="29">
        <f t="shared" si="1"/>
        <v>32227.3</v>
      </c>
    </row>
    <row r="265">
      <c r="B265" s="6" t="s">
        <v>301</v>
      </c>
      <c r="C265" s="6" t="s">
        <v>14</v>
      </c>
      <c r="D265" s="6" t="s">
        <v>15</v>
      </c>
      <c r="E265" s="6" t="s">
        <v>32</v>
      </c>
      <c r="F265" s="6" t="s">
        <v>17</v>
      </c>
      <c r="G265" s="6" t="s">
        <v>18</v>
      </c>
      <c r="H265" s="7">
        <v>45186.0</v>
      </c>
      <c r="I265" s="8">
        <v>349.0</v>
      </c>
      <c r="J265" s="8">
        <v>154.52</v>
      </c>
      <c r="K265" s="8">
        <v>51.64</v>
      </c>
      <c r="L265" s="29">
        <f t="shared" si="1"/>
        <v>53927.48</v>
      </c>
    </row>
    <row r="266">
      <c r="B266" s="6" t="s">
        <v>302</v>
      </c>
      <c r="C266" s="6" t="s">
        <v>26</v>
      </c>
      <c r="D266" s="6" t="s">
        <v>21</v>
      </c>
      <c r="E266" s="6" t="s">
        <v>22</v>
      </c>
      <c r="F266" s="6" t="s">
        <v>28</v>
      </c>
      <c r="G266" s="6" t="s">
        <v>33</v>
      </c>
      <c r="H266" s="7">
        <v>45187.0</v>
      </c>
      <c r="I266" s="8">
        <v>237.0</v>
      </c>
      <c r="J266" s="6"/>
      <c r="K266" s="8">
        <v>155.38</v>
      </c>
      <c r="L266" s="29">
        <f t="shared" si="1"/>
        <v>0</v>
      </c>
    </row>
    <row r="267">
      <c r="B267" s="6" t="s">
        <v>303</v>
      </c>
      <c r="C267" s="6" t="s">
        <v>61</v>
      </c>
      <c r="D267" s="6" t="s">
        <v>63</v>
      </c>
      <c r="E267" s="6" t="s">
        <v>32</v>
      </c>
      <c r="F267" s="6" t="s">
        <v>28</v>
      </c>
      <c r="G267" s="6" t="s">
        <v>18</v>
      </c>
      <c r="H267" s="7">
        <v>45188.0</v>
      </c>
      <c r="I267" s="8">
        <v>18.0</v>
      </c>
      <c r="J267" s="8">
        <v>426.33</v>
      </c>
      <c r="K267" s="8">
        <v>258.06</v>
      </c>
      <c r="L267" s="29">
        <f t="shared" si="1"/>
        <v>7673.94</v>
      </c>
    </row>
    <row r="268">
      <c r="B268" s="6" t="s">
        <v>304</v>
      </c>
      <c r="C268" s="6" t="s">
        <v>26</v>
      </c>
      <c r="D268" s="6" t="s">
        <v>63</v>
      </c>
      <c r="E268" s="6" t="s">
        <v>55</v>
      </c>
      <c r="F268" s="6" t="s">
        <v>28</v>
      </c>
      <c r="G268" s="6" t="s">
        <v>23</v>
      </c>
      <c r="H268" s="7">
        <v>45189.0</v>
      </c>
      <c r="I268" s="8">
        <v>175.0</v>
      </c>
      <c r="J268" s="8">
        <v>337.36</v>
      </c>
      <c r="K268" s="8">
        <v>312.6</v>
      </c>
      <c r="L268" s="29">
        <f t="shared" si="1"/>
        <v>59038</v>
      </c>
    </row>
    <row r="269">
      <c r="B269" s="6" t="s">
        <v>305</v>
      </c>
      <c r="C269" s="6" t="s">
        <v>26</v>
      </c>
      <c r="D269" s="6" t="s">
        <v>21</v>
      </c>
      <c r="E269" s="6"/>
      <c r="F269" s="6" t="s">
        <v>17</v>
      </c>
      <c r="G269" s="6" t="s">
        <v>18</v>
      </c>
      <c r="H269" s="7">
        <v>45190.0</v>
      </c>
      <c r="I269" s="8">
        <v>441.0</v>
      </c>
      <c r="J269" s="8">
        <v>405.72</v>
      </c>
      <c r="K269" s="8">
        <v>88.45</v>
      </c>
      <c r="L269" s="29">
        <f t="shared" si="1"/>
        <v>178922.52</v>
      </c>
    </row>
    <row r="270">
      <c r="B270" s="6" t="s">
        <v>306</v>
      </c>
      <c r="C270" s="6" t="s">
        <v>14</v>
      </c>
      <c r="D270" s="6" t="s">
        <v>15</v>
      </c>
      <c r="E270" s="6" t="s">
        <v>27</v>
      </c>
      <c r="F270" s="6" t="s">
        <v>28</v>
      </c>
      <c r="G270" s="6" t="s">
        <v>33</v>
      </c>
      <c r="H270" s="7">
        <v>45191.0</v>
      </c>
      <c r="I270" s="8">
        <v>453.0</v>
      </c>
      <c r="J270" s="8">
        <v>384.49</v>
      </c>
      <c r="K270" s="8">
        <v>56.85</v>
      </c>
      <c r="L270" s="29">
        <f t="shared" si="1"/>
        <v>174173.97</v>
      </c>
    </row>
    <row r="271">
      <c r="B271" s="6" t="s">
        <v>307</v>
      </c>
      <c r="C271" s="6" t="s">
        <v>61</v>
      </c>
      <c r="D271" s="6" t="s">
        <v>31</v>
      </c>
      <c r="E271" s="6" t="s">
        <v>32</v>
      </c>
      <c r="F271" s="6" t="s">
        <v>17</v>
      </c>
      <c r="G271" s="6" t="s">
        <v>33</v>
      </c>
      <c r="H271" s="7">
        <v>45192.0</v>
      </c>
      <c r="I271" s="8">
        <v>328.0</v>
      </c>
      <c r="J271" s="8">
        <v>79.1</v>
      </c>
      <c r="K271" s="8">
        <v>265.89</v>
      </c>
      <c r="L271" s="29">
        <f t="shared" si="1"/>
        <v>25944.8</v>
      </c>
    </row>
    <row r="272">
      <c r="B272" s="6" t="s">
        <v>308</v>
      </c>
      <c r="C272" s="6" t="s">
        <v>20</v>
      </c>
      <c r="D272" s="6" t="s">
        <v>63</v>
      </c>
      <c r="E272" s="6" t="s">
        <v>55</v>
      </c>
      <c r="F272" s="6" t="s">
        <v>28</v>
      </c>
      <c r="G272" s="6" t="s">
        <v>33</v>
      </c>
      <c r="H272" s="7">
        <v>45193.0</v>
      </c>
      <c r="I272" s="8">
        <v>223.0</v>
      </c>
      <c r="J272" s="8">
        <v>214.85</v>
      </c>
      <c r="K272" s="8">
        <v>2.75</v>
      </c>
      <c r="L272" s="29">
        <f t="shared" si="1"/>
        <v>47911.55</v>
      </c>
    </row>
    <row r="273">
      <c r="B273" s="6" t="s">
        <v>309</v>
      </c>
      <c r="C273" s="6" t="s">
        <v>20</v>
      </c>
      <c r="D273" s="6" t="s">
        <v>21</v>
      </c>
      <c r="E273" s="6" t="s">
        <v>16</v>
      </c>
      <c r="F273" s="6" t="s">
        <v>17</v>
      </c>
      <c r="G273" s="6" t="s">
        <v>33</v>
      </c>
      <c r="H273" s="7">
        <v>45194.0</v>
      </c>
      <c r="I273" s="8">
        <v>126.0</v>
      </c>
      <c r="J273" s="8">
        <v>80.73</v>
      </c>
      <c r="K273" s="8">
        <v>72.99</v>
      </c>
      <c r="L273" s="29">
        <f t="shared" si="1"/>
        <v>10171.98</v>
      </c>
    </row>
    <row r="274">
      <c r="B274" s="6" t="s">
        <v>310</v>
      </c>
      <c r="C274" s="6" t="s">
        <v>14</v>
      </c>
      <c r="D274" s="6" t="s">
        <v>39</v>
      </c>
      <c r="E274" s="6" t="s">
        <v>22</v>
      </c>
      <c r="F274" s="6" t="s">
        <v>17</v>
      </c>
      <c r="G274" s="6" t="s">
        <v>33</v>
      </c>
      <c r="H274" s="7">
        <v>45195.0</v>
      </c>
      <c r="I274" s="8">
        <v>395.0</v>
      </c>
      <c r="J274" s="8">
        <v>121.44</v>
      </c>
      <c r="K274" s="8">
        <v>13.57</v>
      </c>
      <c r="L274" s="29">
        <f t="shared" si="1"/>
        <v>47968.8</v>
      </c>
    </row>
    <row r="275">
      <c r="B275" s="6" t="s">
        <v>311</v>
      </c>
      <c r="C275" s="6" t="s">
        <v>14</v>
      </c>
      <c r="D275" s="6" t="s">
        <v>21</v>
      </c>
      <c r="E275" s="6" t="s">
        <v>32</v>
      </c>
      <c r="F275" s="6" t="s">
        <v>28</v>
      </c>
      <c r="G275" s="6" t="s">
        <v>18</v>
      </c>
      <c r="H275" s="7">
        <v>45196.0</v>
      </c>
      <c r="I275" s="8">
        <v>353.0</v>
      </c>
      <c r="J275" s="8">
        <v>435.28</v>
      </c>
      <c r="K275" s="8">
        <v>68.42</v>
      </c>
      <c r="L275" s="29">
        <f t="shared" si="1"/>
        <v>153653.84</v>
      </c>
    </row>
    <row r="276">
      <c r="B276" s="6" t="s">
        <v>312</v>
      </c>
      <c r="C276" s="6" t="s">
        <v>61</v>
      </c>
      <c r="D276" s="6" t="s">
        <v>39</v>
      </c>
      <c r="E276" s="6" t="s">
        <v>32</v>
      </c>
      <c r="F276" s="6" t="s">
        <v>28</v>
      </c>
      <c r="G276" s="6" t="s">
        <v>18</v>
      </c>
      <c r="H276" s="7">
        <v>45197.0</v>
      </c>
      <c r="I276" s="8">
        <v>81.0</v>
      </c>
      <c r="J276" s="8">
        <v>239.08</v>
      </c>
      <c r="K276" s="8">
        <v>74.17</v>
      </c>
      <c r="L276" s="29">
        <f t="shared" si="1"/>
        <v>19365.48</v>
      </c>
    </row>
    <row r="277">
      <c r="B277" s="6" t="s">
        <v>313</v>
      </c>
      <c r="C277" s="6" t="s">
        <v>20</v>
      </c>
      <c r="D277" s="6" t="s">
        <v>15</v>
      </c>
      <c r="E277" s="6" t="s">
        <v>27</v>
      </c>
      <c r="F277" s="6" t="s">
        <v>28</v>
      </c>
      <c r="G277" s="6" t="s">
        <v>18</v>
      </c>
      <c r="H277" s="7">
        <v>45198.0</v>
      </c>
      <c r="I277" s="8">
        <v>404.0</v>
      </c>
      <c r="J277" s="8">
        <v>270.0</v>
      </c>
      <c r="K277" s="8">
        <v>156.29</v>
      </c>
      <c r="L277" s="29">
        <f t="shared" si="1"/>
        <v>109080</v>
      </c>
    </row>
    <row r="278">
      <c r="B278" s="6" t="s">
        <v>314</v>
      </c>
      <c r="C278" s="6" t="s">
        <v>20</v>
      </c>
      <c r="D278" s="6" t="s">
        <v>31</v>
      </c>
      <c r="E278" s="6" t="s">
        <v>27</v>
      </c>
      <c r="F278" s="6" t="s">
        <v>28</v>
      </c>
      <c r="G278" s="6" t="s">
        <v>18</v>
      </c>
      <c r="H278" s="7">
        <v>45199.0</v>
      </c>
      <c r="I278" s="8">
        <v>73.0</v>
      </c>
      <c r="J278" s="8">
        <v>93.33</v>
      </c>
      <c r="K278" s="8">
        <v>162.13</v>
      </c>
      <c r="L278" s="29">
        <f t="shared" si="1"/>
        <v>6813.09</v>
      </c>
    </row>
    <row r="279">
      <c r="B279" s="6" t="s">
        <v>315</v>
      </c>
      <c r="C279" s="6" t="s">
        <v>20</v>
      </c>
      <c r="D279" s="6" t="s">
        <v>21</v>
      </c>
      <c r="E279" s="6" t="s">
        <v>16</v>
      </c>
      <c r="F279" s="6" t="s">
        <v>17</v>
      </c>
      <c r="G279" s="6" t="s">
        <v>33</v>
      </c>
      <c r="H279" s="7">
        <v>45200.0</v>
      </c>
      <c r="I279" s="8">
        <v>214.0</v>
      </c>
      <c r="J279" s="8">
        <v>159.57</v>
      </c>
      <c r="K279" s="8">
        <v>349.96</v>
      </c>
      <c r="L279" s="29">
        <f t="shared" si="1"/>
        <v>34147.98</v>
      </c>
    </row>
    <row r="280">
      <c r="B280" s="6" t="s">
        <v>316</v>
      </c>
      <c r="C280" s="6" t="s">
        <v>26</v>
      </c>
      <c r="D280" s="6" t="s">
        <v>63</v>
      </c>
      <c r="E280" s="6" t="s">
        <v>16</v>
      </c>
      <c r="F280" s="6" t="s">
        <v>28</v>
      </c>
      <c r="G280" s="6" t="s">
        <v>23</v>
      </c>
      <c r="H280" s="7">
        <v>45201.0</v>
      </c>
      <c r="I280" s="8">
        <v>218.0</v>
      </c>
      <c r="J280" s="8">
        <v>118.97</v>
      </c>
      <c r="K280" s="8">
        <v>205.02</v>
      </c>
      <c r="L280" s="29">
        <f t="shared" si="1"/>
        <v>25935.46</v>
      </c>
    </row>
    <row r="281">
      <c r="B281" s="6" t="s">
        <v>317</v>
      </c>
      <c r="C281" s="6" t="s">
        <v>20</v>
      </c>
      <c r="D281" s="6" t="s">
        <v>15</v>
      </c>
      <c r="E281" s="6" t="s">
        <v>55</v>
      </c>
      <c r="F281" s="6" t="s">
        <v>28</v>
      </c>
      <c r="G281" s="6" t="s">
        <v>18</v>
      </c>
      <c r="H281" s="7">
        <v>45202.0</v>
      </c>
      <c r="I281" s="8">
        <v>81.0</v>
      </c>
      <c r="J281" s="8">
        <v>107.06</v>
      </c>
      <c r="K281" s="8">
        <v>289.92</v>
      </c>
      <c r="L281" s="29">
        <f t="shared" si="1"/>
        <v>8671.86</v>
      </c>
    </row>
    <row r="282">
      <c r="B282" s="6" t="s">
        <v>318</v>
      </c>
      <c r="C282" s="6" t="s">
        <v>26</v>
      </c>
      <c r="D282" s="6" t="s">
        <v>21</v>
      </c>
      <c r="E282" s="6" t="s">
        <v>55</v>
      </c>
      <c r="F282" s="6" t="s">
        <v>28</v>
      </c>
      <c r="G282" s="6" t="s">
        <v>23</v>
      </c>
      <c r="H282" s="7">
        <v>45203.0</v>
      </c>
      <c r="I282" s="8">
        <v>286.0</v>
      </c>
      <c r="J282" s="8">
        <v>320.79</v>
      </c>
      <c r="K282" s="8">
        <v>43.45</v>
      </c>
      <c r="L282" s="29">
        <f t="shared" si="1"/>
        <v>91745.94</v>
      </c>
    </row>
    <row r="283">
      <c r="B283" s="6" t="s">
        <v>319</v>
      </c>
      <c r="C283" s="6" t="s">
        <v>61</v>
      </c>
      <c r="D283" s="6" t="s">
        <v>63</v>
      </c>
      <c r="E283" s="6" t="s">
        <v>16</v>
      </c>
      <c r="F283" s="6" t="s">
        <v>17</v>
      </c>
      <c r="G283" s="6" t="s">
        <v>18</v>
      </c>
      <c r="H283" s="7">
        <v>45204.0</v>
      </c>
      <c r="I283" s="8">
        <v>283.0</v>
      </c>
      <c r="J283" s="8">
        <v>132.16</v>
      </c>
      <c r="K283" s="8">
        <v>91.72</v>
      </c>
      <c r="L283" s="29">
        <f t="shared" si="1"/>
        <v>37401.28</v>
      </c>
    </row>
    <row r="284">
      <c r="B284" s="6" t="s">
        <v>320</v>
      </c>
      <c r="C284" s="6" t="s">
        <v>26</v>
      </c>
      <c r="D284" s="6" t="s">
        <v>21</v>
      </c>
      <c r="E284" s="6" t="s">
        <v>16</v>
      </c>
      <c r="F284" s="6" t="s">
        <v>17</v>
      </c>
      <c r="G284" s="6" t="s">
        <v>18</v>
      </c>
      <c r="H284" s="7">
        <v>45205.0</v>
      </c>
      <c r="I284" s="8">
        <v>487.0</v>
      </c>
      <c r="J284" s="8">
        <v>317.85</v>
      </c>
      <c r="K284" s="8">
        <v>281.77</v>
      </c>
      <c r="L284" s="29">
        <f t="shared" si="1"/>
        <v>154792.95</v>
      </c>
    </row>
    <row r="285">
      <c r="B285" s="6" t="s">
        <v>321</v>
      </c>
      <c r="C285" s="6" t="s">
        <v>61</v>
      </c>
      <c r="D285" s="6" t="s">
        <v>39</v>
      </c>
      <c r="E285" s="6" t="s">
        <v>22</v>
      </c>
      <c r="F285" s="6" t="s">
        <v>28</v>
      </c>
      <c r="G285" s="6" t="s">
        <v>23</v>
      </c>
      <c r="H285" s="7">
        <v>45206.0</v>
      </c>
      <c r="I285" s="8">
        <v>329.0</v>
      </c>
      <c r="J285" s="8">
        <v>33.94</v>
      </c>
      <c r="K285" s="8">
        <v>23.02</v>
      </c>
      <c r="L285" s="29">
        <f t="shared" si="1"/>
        <v>11166.26</v>
      </c>
    </row>
    <row r="286">
      <c r="B286" s="6" t="s">
        <v>322</v>
      </c>
      <c r="C286" s="6" t="s">
        <v>20</v>
      </c>
      <c r="D286" s="6" t="s">
        <v>21</v>
      </c>
      <c r="E286" s="6" t="s">
        <v>27</v>
      </c>
      <c r="F286" s="6" t="s">
        <v>17</v>
      </c>
      <c r="G286" s="6" t="s">
        <v>33</v>
      </c>
      <c r="H286" s="7">
        <v>45207.0</v>
      </c>
      <c r="I286" s="8">
        <v>347.0</v>
      </c>
      <c r="J286" s="8">
        <v>75.18</v>
      </c>
      <c r="K286" s="8">
        <v>195.67</v>
      </c>
      <c r="L286" s="29">
        <f t="shared" si="1"/>
        <v>26087.46</v>
      </c>
    </row>
    <row r="287">
      <c r="B287" s="6" t="s">
        <v>323</v>
      </c>
      <c r="C287" s="6" t="s">
        <v>20</v>
      </c>
      <c r="D287" s="6" t="s">
        <v>21</v>
      </c>
      <c r="E287" s="6" t="s">
        <v>55</v>
      </c>
      <c r="F287" s="6" t="s">
        <v>28</v>
      </c>
      <c r="G287" s="6" t="s">
        <v>18</v>
      </c>
      <c r="H287" s="7">
        <v>45208.0</v>
      </c>
      <c r="I287" s="8">
        <v>375.0</v>
      </c>
      <c r="J287" s="8">
        <v>140.9</v>
      </c>
      <c r="K287" s="8">
        <v>240.55</v>
      </c>
      <c r="L287" s="29">
        <f t="shared" si="1"/>
        <v>52837.5</v>
      </c>
    </row>
    <row r="288">
      <c r="B288" s="6" t="s">
        <v>324</v>
      </c>
      <c r="C288" s="6" t="s">
        <v>61</v>
      </c>
      <c r="D288" s="6" t="s">
        <v>21</v>
      </c>
      <c r="E288" s="6" t="s">
        <v>27</v>
      </c>
      <c r="F288" s="6" t="s">
        <v>17</v>
      </c>
      <c r="G288" s="6" t="s">
        <v>18</v>
      </c>
      <c r="H288" s="7">
        <v>45209.0</v>
      </c>
      <c r="I288" s="8">
        <v>104.0</v>
      </c>
      <c r="J288" s="8">
        <v>300.54</v>
      </c>
      <c r="K288" s="8">
        <v>241.65</v>
      </c>
      <c r="L288" s="29">
        <f t="shared" si="1"/>
        <v>31256.16</v>
      </c>
    </row>
    <row r="289">
      <c r="B289" s="6" t="s">
        <v>325</v>
      </c>
      <c r="C289" s="6" t="s">
        <v>14</v>
      </c>
      <c r="D289" s="6" t="s">
        <v>15</v>
      </c>
      <c r="E289" s="6"/>
      <c r="F289" s="6" t="s">
        <v>17</v>
      </c>
      <c r="G289" s="6" t="s">
        <v>18</v>
      </c>
      <c r="H289" s="7">
        <v>45210.0</v>
      </c>
      <c r="I289" s="8">
        <v>175.0</v>
      </c>
      <c r="J289" s="8">
        <v>339.54</v>
      </c>
      <c r="K289" s="8">
        <v>11.13</v>
      </c>
      <c r="L289" s="29">
        <f t="shared" si="1"/>
        <v>59419.5</v>
      </c>
    </row>
    <row r="290">
      <c r="B290" s="6" t="s">
        <v>326</v>
      </c>
      <c r="C290" s="6" t="s">
        <v>61</v>
      </c>
      <c r="D290" s="6" t="s">
        <v>21</v>
      </c>
      <c r="E290" s="6" t="s">
        <v>16</v>
      </c>
      <c r="F290" s="6" t="s">
        <v>17</v>
      </c>
      <c r="G290" s="6" t="s">
        <v>23</v>
      </c>
      <c r="H290" s="7">
        <v>45211.0</v>
      </c>
      <c r="I290" s="8">
        <v>41.0</v>
      </c>
      <c r="J290" s="8">
        <v>224.14</v>
      </c>
      <c r="K290" s="8">
        <v>130.2</v>
      </c>
      <c r="L290" s="29">
        <f t="shared" si="1"/>
        <v>9189.74</v>
      </c>
    </row>
    <row r="291">
      <c r="B291" s="6" t="s">
        <v>327</v>
      </c>
      <c r="C291" s="6" t="s">
        <v>14</v>
      </c>
      <c r="D291" s="6" t="s">
        <v>63</v>
      </c>
      <c r="E291" s="6" t="s">
        <v>22</v>
      </c>
      <c r="F291" s="6" t="s">
        <v>17</v>
      </c>
      <c r="G291" s="6" t="s">
        <v>33</v>
      </c>
      <c r="H291" s="7">
        <v>45212.0</v>
      </c>
      <c r="I291" s="8">
        <v>20.0</v>
      </c>
      <c r="J291" s="8">
        <v>225.67</v>
      </c>
      <c r="K291" s="8">
        <v>255.32</v>
      </c>
      <c r="L291" s="29">
        <f t="shared" si="1"/>
        <v>4513.4</v>
      </c>
    </row>
    <row r="292">
      <c r="B292" s="6" t="s">
        <v>328</v>
      </c>
      <c r="C292" s="6" t="s">
        <v>26</v>
      </c>
      <c r="D292" s="6" t="s">
        <v>39</v>
      </c>
      <c r="E292" s="6" t="s">
        <v>32</v>
      </c>
      <c r="F292" s="6" t="s">
        <v>28</v>
      </c>
      <c r="G292" s="6" t="s">
        <v>23</v>
      </c>
      <c r="H292" s="7">
        <v>45213.0</v>
      </c>
      <c r="I292" s="8">
        <v>310.0</v>
      </c>
      <c r="J292" s="8">
        <v>363.64</v>
      </c>
      <c r="K292" s="8">
        <v>61.3</v>
      </c>
      <c r="L292" s="29">
        <f t="shared" si="1"/>
        <v>112728.4</v>
      </c>
    </row>
    <row r="293">
      <c r="B293" s="6" t="s">
        <v>329</v>
      </c>
      <c r="C293" s="6" t="s">
        <v>26</v>
      </c>
      <c r="D293" s="6" t="s">
        <v>39</v>
      </c>
      <c r="E293" s="6" t="s">
        <v>22</v>
      </c>
      <c r="F293" s="6" t="s">
        <v>28</v>
      </c>
      <c r="G293" s="6" t="s">
        <v>23</v>
      </c>
      <c r="H293" s="7">
        <v>45214.0</v>
      </c>
      <c r="I293" s="8">
        <v>226.0</v>
      </c>
      <c r="J293" s="6"/>
      <c r="K293" s="8">
        <v>278.78</v>
      </c>
      <c r="L293" s="29">
        <f t="shared" si="1"/>
        <v>0</v>
      </c>
    </row>
    <row r="294">
      <c r="B294" s="6" t="s">
        <v>330</v>
      </c>
      <c r="C294" s="6" t="s">
        <v>26</v>
      </c>
      <c r="D294" s="6" t="s">
        <v>21</v>
      </c>
      <c r="E294" s="6" t="s">
        <v>22</v>
      </c>
      <c r="F294" s="6" t="s">
        <v>28</v>
      </c>
      <c r="G294" s="6" t="s">
        <v>33</v>
      </c>
      <c r="H294" s="7">
        <v>45215.0</v>
      </c>
      <c r="I294" s="6"/>
      <c r="J294" s="8">
        <v>173.84</v>
      </c>
      <c r="K294" s="8">
        <v>298.88</v>
      </c>
      <c r="L294" s="29">
        <f t="shared" si="1"/>
        <v>0</v>
      </c>
    </row>
    <row r="295">
      <c r="B295" s="6" t="s">
        <v>331</v>
      </c>
      <c r="C295" s="6" t="s">
        <v>20</v>
      </c>
      <c r="D295" s="6" t="s">
        <v>15</v>
      </c>
      <c r="E295" s="6" t="s">
        <v>27</v>
      </c>
      <c r="F295" s="6" t="s">
        <v>17</v>
      </c>
      <c r="G295" s="6" t="s">
        <v>23</v>
      </c>
      <c r="H295" s="7">
        <v>45216.0</v>
      </c>
      <c r="I295" s="8">
        <v>111.0</v>
      </c>
      <c r="J295" s="8">
        <v>410.26</v>
      </c>
      <c r="K295" s="8">
        <v>392.82</v>
      </c>
      <c r="L295" s="29">
        <f t="shared" si="1"/>
        <v>45538.86</v>
      </c>
    </row>
    <row r="296">
      <c r="B296" s="6" t="s">
        <v>332</v>
      </c>
      <c r="C296" s="6" t="s">
        <v>26</v>
      </c>
      <c r="D296" s="6" t="s">
        <v>15</v>
      </c>
      <c r="E296" s="6" t="s">
        <v>22</v>
      </c>
      <c r="F296" s="6" t="s">
        <v>28</v>
      </c>
      <c r="G296" s="6" t="s">
        <v>33</v>
      </c>
      <c r="H296" s="7">
        <v>45217.0</v>
      </c>
      <c r="I296" s="8">
        <v>434.0</v>
      </c>
      <c r="J296" s="8">
        <v>303.59</v>
      </c>
      <c r="K296" s="8">
        <v>85.52</v>
      </c>
      <c r="L296" s="29">
        <f t="shared" si="1"/>
        <v>131758.06</v>
      </c>
    </row>
    <row r="297">
      <c r="B297" s="6" t="s">
        <v>333</v>
      </c>
      <c r="C297" s="6" t="s">
        <v>14</v>
      </c>
      <c r="D297" s="6" t="s">
        <v>63</v>
      </c>
      <c r="E297" s="6" t="s">
        <v>55</v>
      </c>
      <c r="F297" s="6" t="s">
        <v>28</v>
      </c>
      <c r="G297" s="6" t="s">
        <v>18</v>
      </c>
      <c r="H297" s="7">
        <v>45218.0</v>
      </c>
      <c r="I297" s="8">
        <v>401.0</v>
      </c>
      <c r="J297" s="8">
        <v>171.93</v>
      </c>
      <c r="K297" s="8">
        <v>330.4</v>
      </c>
      <c r="L297" s="29">
        <f t="shared" si="1"/>
        <v>68943.93</v>
      </c>
    </row>
    <row r="298">
      <c r="B298" s="6" t="s">
        <v>334</v>
      </c>
      <c r="C298" s="6" t="s">
        <v>26</v>
      </c>
      <c r="D298" s="6" t="s">
        <v>21</v>
      </c>
      <c r="E298" s="6" t="s">
        <v>27</v>
      </c>
      <c r="F298" s="6" t="s">
        <v>28</v>
      </c>
      <c r="G298" s="6" t="s">
        <v>33</v>
      </c>
      <c r="H298" s="7">
        <v>45219.0</v>
      </c>
      <c r="I298" s="8">
        <v>276.0</v>
      </c>
      <c r="J298" s="8">
        <v>453.23</v>
      </c>
      <c r="K298" s="8">
        <v>209.08</v>
      </c>
      <c r="L298" s="29">
        <f t="shared" si="1"/>
        <v>125091.48</v>
      </c>
    </row>
    <row r="299">
      <c r="B299" s="6" t="s">
        <v>335</v>
      </c>
      <c r="C299" s="6" t="s">
        <v>61</v>
      </c>
      <c r="D299" s="6" t="s">
        <v>39</v>
      </c>
      <c r="E299" s="6" t="s">
        <v>55</v>
      </c>
      <c r="F299" s="6" t="s">
        <v>17</v>
      </c>
      <c r="G299" s="6" t="s">
        <v>18</v>
      </c>
      <c r="H299" s="7">
        <v>45220.0</v>
      </c>
      <c r="I299" s="6"/>
      <c r="J299" s="8">
        <v>387.45</v>
      </c>
      <c r="K299" s="8">
        <v>150.64</v>
      </c>
      <c r="L299" s="29">
        <f t="shared" si="1"/>
        <v>0</v>
      </c>
    </row>
    <row r="300">
      <c r="B300" s="6" t="s">
        <v>336</v>
      </c>
      <c r="C300" s="6" t="s">
        <v>61</v>
      </c>
      <c r="D300" s="6" t="s">
        <v>15</v>
      </c>
      <c r="E300" s="6" t="s">
        <v>32</v>
      </c>
      <c r="F300" s="6" t="s">
        <v>17</v>
      </c>
      <c r="G300" s="6" t="s">
        <v>23</v>
      </c>
      <c r="H300" s="7">
        <v>45221.0</v>
      </c>
      <c r="I300" s="8">
        <v>188.0</v>
      </c>
      <c r="J300" s="8">
        <v>136.12</v>
      </c>
      <c r="K300" s="8">
        <v>50.71</v>
      </c>
      <c r="L300" s="29">
        <f t="shared" si="1"/>
        <v>25590.56</v>
      </c>
    </row>
    <row r="301">
      <c r="B301" s="6" t="s">
        <v>337</v>
      </c>
      <c r="C301" s="6" t="s">
        <v>20</v>
      </c>
      <c r="D301" s="6" t="s">
        <v>21</v>
      </c>
      <c r="E301" s="6" t="s">
        <v>27</v>
      </c>
      <c r="F301" s="6" t="s">
        <v>17</v>
      </c>
      <c r="G301" s="6" t="s">
        <v>23</v>
      </c>
      <c r="H301" s="7">
        <v>45222.0</v>
      </c>
      <c r="I301" s="8">
        <v>97.0</v>
      </c>
      <c r="J301" s="8">
        <v>324.42</v>
      </c>
      <c r="K301" s="8">
        <v>294.73</v>
      </c>
      <c r="L301" s="29">
        <f t="shared" si="1"/>
        <v>31468.74</v>
      </c>
    </row>
    <row r="302">
      <c r="B302" s="6" t="s">
        <v>338</v>
      </c>
      <c r="C302" s="6" t="s">
        <v>61</v>
      </c>
      <c r="D302" s="6" t="s">
        <v>15</v>
      </c>
      <c r="E302" s="6" t="s">
        <v>32</v>
      </c>
      <c r="F302" s="6" t="s">
        <v>28</v>
      </c>
      <c r="G302" s="6" t="s">
        <v>18</v>
      </c>
      <c r="H302" s="7">
        <v>45223.0</v>
      </c>
      <c r="I302" s="8">
        <v>50.0</v>
      </c>
      <c r="J302" s="8">
        <v>299.9</v>
      </c>
      <c r="K302" s="8">
        <v>95.87</v>
      </c>
      <c r="L302" s="29">
        <f t="shared" si="1"/>
        <v>14995</v>
      </c>
    </row>
    <row r="303">
      <c r="B303" s="6" t="s">
        <v>339</v>
      </c>
      <c r="C303" s="6" t="s">
        <v>14</v>
      </c>
      <c r="D303" s="6" t="s">
        <v>15</v>
      </c>
      <c r="E303" s="6" t="s">
        <v>27</v>
      </c>
      <c r="F303" s="6" t="s">
        <v>28</v>
      </c>
      <c r="G303" s="6" t="s">
        <v>23</v>
      </c>
      <c r="H303" s="7">
        <v>45224.0</v>
      </c>
      <c r="I303" s="8">
        <v>410.0</v>
      </c>
      <c r="J303" s="8">
        <v>203.59</v>
      </c>
      <c r="K303" s="8">
        <v>149.83</v>
      </c>
      <c r="L303" s="29">
        <f t="shared" si="1"/>
        <v>83471.9</v>
      </c>
    </row>
    <row r="304">
      <c r="B304" s="6" t="s">
        <v>340</v>
      </c>
      <c r="C304" s="6" t="s">
        <v>26</v>
      </c>
      <c r="D304" s="6" t="s">
        <v>39</v>
      </c>
      <c r="E304" s="6" t="s">
        <v>16</v>
      </c>
      <c r="F304" s="6" t="s">
        <v>28</v>
      </c>
      <c r="G304" s="6" t="s">
        <v>33</v>
      </c>
      <c r="H304" s="7">
        <v>45225.0</v>
      </c>
      <c r="I304" s="8">
        <v>85.0</v>
      </c>
      <c r="J304" s="8">
        <v>186.64</v>
      </c>
      <c r="K304" s="8">
        <v>26.89</v>
      </c>
      <c r="L304" s="29">
        <f t="shared" si="1"/>
        <v>15864.4</v>
      </c>
    </row>
    <row r="305">
      <c r="B305" s="6" t="s">
        <v>341</v>
      </c>
      <c r="C305" s="6" t="s">
        <v>20</v>
      </c>
      <c r="D305" s="6" t="s">
        <v>31</v>
      </c>
      <c r="E305" s="6" t="s">
        <v>22</v>
      </c>
      <c r="F305" s="6" t="s">
        <v>17</v>
      </c>
      <c r="G305" s="6" t="s">
        <v>18</v>
      </c>
      <c r="H305" s="7">
        <v>45226.0</v>
      </c>
      <c r="I305" s="8">
        <v>386.0</v>
      </c>
      <c r="J305" s="8">
        <v>175.06</v>
      </c>
      <c r="K305" s="8">
        <v>320.94</v>
      </c>
      <c r="L305" s="29">
        <f t="shared" si="1"/>
        <v>67573.16</v>
      </c>
    </row>
    <row r="306">
      <c r="B306" s="6" t="s">
        <v>342</v>
      </c>
      <c r="C306" s="6" t="s">
        <v>26</v>
      </c>
      <c r="D306" s="6" t="s">
        <v>63</v>
      </c>
      <c r="E306" s="6" t="s">
        <v>16</v>
      </c>
      <c r="F306" s="6" t="s">
        <v>17</v>
      </c>
      <c r="G306" s="6" t="s">
        <v>23</v>
      </c>
      <c r="H306" s="7">
        <v>45227.0</v>
      </c>
      <c r="I306" s="8">
        <v>55.0</v>
      </c>
      <c r="J306" s="8">
        <v>310.49</v>
      </c>
      <c r="K306" s="8">
        <v>307.1</v>
      </c>
      <c r="L306" s="29">
        <f t="shared" si="1"/>
        <v>17076.95</v>
      </c>
    </row>
    <row r="307">
      <c r="B307" s="6" t="s">
        <v>343</v>
      </c>
      <c r="C307" s="6" t="s">
        <v>26</v>
      </c>
      <c r="D307" s="6" t="s">
        <v>63</v>
      </c>
      <c r="E307" s="6" t="s">
        <v>32</v>
      </c>
      <c r="F307" s="6" t="s">
        <v>28</v>
      </c>
      <c r="G307" s="6" t="s">
        <v>18</v>
      </c>
      <c r="H307" s="7">
        <v>45228.0</v>
      </c>
      <c r="I307" s="8">
        <v>169.0</v>
      </c>
      <c r="J307" s="8">
        <v>223.99</v>
      </c>
      <c r="K307" s="8">
        <v>293.98</v>
      </c>
      <c r="L307" s="29">
        <f t="shared" si="1"/>
        <v>37854.31</v>
      </c>
    </row>
    <row r="308">
      <c r="B308" s="6" t="s">
        <v>344</v>
      </c>
      <c r="C308" s="6" t="s">
        <v>14</v>
      </c>
      <c r="D308" s="6" t="s">
        <v>39</v>
      </c>
      <c r="E308" s="6" t="s">
        <v>22</v>
      </c>
      <c r="F308" s="6" t="s">
        <v>17</v>
      </c>
      <c r="G308" s="6" t="s">
        <v>33</v>
      </c>
      <c r="H308" s="7">
        <v>45229.0</v>
      </c>
      <c r="I308" s="8">
        <v>472.0</v>
      </c>
      <c r="J308" s="8">
        <v>416.77</v>
      </c>
      <c r="K308" s="8">
        <v>121.18</v>
      </c>
      <c r="L308" s="29">
        <f t="shared" si="1"/>
        <v>196715.44</v>
      </c>
    </row>
    <row r="309">
      <c r="B309" s="6" t="s">
        <v>345</v>
      </c>
      <c r="C309" s="6" t="s">
        <v>61</v>
      </c>
      <c r="D309" s="6" t="s">
        <v>15</v>
      </c>
      <c r="E309" s="6" t="s">
        <v>27</v>
      </c>
      <c r="F309" s="6" t="s">
        <v>17</v>
      </c>
      <c r="G309" s="6" t="s">
        <v>33</v>
      </c>
      <c r="H309" s="7">
        <v>45230.0</v>
      </c>
      <c r="I309" s="8">
        <v>89.0</v>
      </c>
      <c r="J309" s="8">
        <v>336.45</v>
      </c>
      <c r="K309" s="8">
        <v>71.05</v>
      </c>
      <c r="L309" s="29">
        <f t="shared" si="1"/>
        <v>29944.05</v>
      </c>
    </row>
    <row r="310">
      <c r="B310" s="6" t="s">
        <v>346</v>
      </c>
      <c r="C310" s="6" t="s">
        <v>61</v>
      </c>
      <c r="D310" s="6" t="s">
        <v>21</v>
      </c>
      <c r="E310" s="6" t="s">
        <v>22</v>
      </c>
      <c r="F310" s="6" t="s">
        <v>17</v>
      </c>
      <c r="G310" s="6" t="s">
        <v>23</v>
      </c>
      <c r="H310" s="7">
        <v>45231.0</v>
      </c>
      <c r="I310" s="8">
        <v>319.0</v>
      </c>
      <c r="J310" s="8">
        <v>39.62</v>
      </c>
      <c r="K310" s="8">
        <v>255.75</v>
      </c>
      <c r="L310" s="29">
        <f t="shared" si="1"/>
        <v>12638.78</v>
      </c>
    </row>
    <row r="311">
      <c r="B311" s="6" t="s">
        <v>347</v>
      </c>
      <c r="C311" s="6" t="s">
        <v>26</v>
      </c>
      <c r="D311" s="6" t="s">
        <v>15</v>
      </c>
      <c r="E311" s="6"/>
      <c r="F311" s="6" t="s">
        <v>17</v>
      </c>
      <c r="G311" s="6" t="s">
        <v>33</v>
      </c>
      <c r="H311" s="7">
        <v>45232.0</v>
      </c>
      <c r="I311" s="8">
        <v>95.0</v>
      </c>
      <c r="J311" s="8">
        <v>321.88</v>
      </c>
      <c r="K311" s="8">
        <v>199.47</v>
      </c>
      <c r="L311" s="29">
        <f t="shared" si="1"/>
        <v>30578.6</v>
      </c>
    </row>
    <row r="312">
      <c r="B312" s="6" t="s">
        <v>348</v>
      </c>
      <c r="C312" s="6" t="s">
        <v>20</v>
      </c>
      <c r="D312" s="6" t="s">
        <v>39</v>
      </c>
      <c r="E312" s="6"/>
      <c r="F312" s="6" t="s">
        <v>28</v>
      </c>
      <c r="G312" s="6" t="s">
        <v>18</v>
      </c>
      <c r="H312" s="7">
        <v>45233.0</v>
      </c>
      <c r="I312" s="8">
        <v>101.0</v>
      </c>
      <c r="J312" s="8">
        <v>139.22</v>
      </c>
      <c r="K312" s="8">
        <v>72.94</v>
      </c>
      <c r="L312" s="29">
        <f t="shared" si="1"/>
        <v>14061.22</v>
      </c>
    </row>
    <row r="313">
      <c r="B313" s="6" t="s">
        <v>349</v>
      </c>
      <c r="C313" s="6" t="s">
        <v>61</v>
      </c>
      <c r="D313" s="6" t="s">
        <v>63</v>
      </c>
      <c r="E313" s="6"/>
      <c r="F313" s="6" t="s">
        <v>17</v>
      </c>
      <c r="G313" s="6" t="s">
        <v>33</v>
      </c>
      <c r="H313" s="7">
        <v>45234.0</v>
      </c>
      <c r="I313" s="8">
        <v>157.0</v>
      </c>
      <c r="J313" s="6"/>
      <c r="K313" s="8">
        <v>274.99</v>
      </c>
      <c r="L313" s="29">
        <f t="shared" si="1"/>
        <v>0</v>
      </c>
    </row>
    <row r="314">
      <c r="B314" s="6" t="s">
        <v>350</v>
      </c>
      <c r="C314" s="6" t="s">
        <v>20</v>
      </c>
      <c r="D314" s="6" t="s">
        <v>15</v>
      </c>
      <c r="E314" s="6" t="s">
        <v>22</v>
      </c>
      <c r="F314" s="6" t="s">
        <v>17</v>
      </c>
      <c r="G314" s="6" t="s">
        <v>18</v>
      </c>
      <c r="H314" s="7">
        <v>45235.0</v>
      </c>
      <c r="I314" s="8">
        <v>170.0</v>
      </c>
      <c r="J314" s="8">
        <v>341.67</v>
      </c>
      <c r="K314" s="8">
        <v>396.47</v>
      </c>
      <c r="L314" s="29">
        <f t="shared" si="1"/>
        <v>58083.9</v>
      </c>
    </row>
    <row r="315">
      <c r="B315" s="6" t="s">
        <v>351</v>
      </c>
      <c r="C315" s="6" t="s">
        <v>61</v>
      </c>
      <c r="D315" s="6" t="s">
        <v>63</v>
      </c>
      <c r="E315" s="6" t="s">
        <v>55</v>
      </c>
      <c r="F315" s="6" t="s">
        <v>17</v>
      </c>
      <c r="G315" s="6" t="s">
        <v>18</v>
      </c>
      <c r="H315" s="7">
        <v>45236.0</v>
      </c>
      <c r="I315" s="8">
        <v>211.0</v>
      </c>
      <c r="J315" s="8">
        <v>119.26</v>
      </c>
      <c r="K315" s="8">
        <v>299.39</v>
      </c>
      <c r="L315" s="29">
        <f t="shared" si="1"/>
        <v>25163.86</v>
      </c>
    </row>
    <row r="316">
      <c r="B316" s="6" t="s">
        <v>352</v>
      </c>
      <c r="C316" s="6" t="s">
        <v>20</v>
      </c>
      <c r="D316" s="6" t="s">
        <v>21</v>
      </c>
      <c r="E316" s="6" t="s">
        <v>32</v>
      </c>
      <c r="F316" s="6" t="s">
        <v>17</v>
      </c>
      <c r="G316" s="6" t="s">
        <v>33</v>
      </c>
      <c r="H316" s="7">
        <v>45237.0</v>
      </c>
      <c r="I316" s="8">
        <v>433.0</v>
      </c>
      <c r="J316" s="8">
        <v>231.15</v>
      </c>
      <c r="K316" s="8">
        <v>296.51</v>
      </c>
      <c r="L316" s="29">
        <f t="shared" si="1"/>
        <v>100087.95</v>
      </c>
    </row>
    <row r="317">
      <c r="B317" s="6" t="s">
        <v>353</v>
      </c>
      <c r="C317" s="6" t="s">
        <v>14</v>
      </c>
      <c r="D317" s="6" t="s">
        <v>63</v>
      </c>
      <c r="E317" s="6" t="s">
        <v>16</v>
      </c>
      <c r="F317" s="6" t="s">
        <v>28</v>
      </c>
      <c r="G317" s="6" t="s">
        <v>23</v>
      </c>
      <c r="H317" s="7">
        <v>45238.0</v>
      </c>
      <c r="I317" s="8">
        <v>425.0</v>
      </c>
      <c r="J317" s="8">
        <v>99.21</v>
      </c>
      <c r="K317" s="8">
        <v>380.22</v>
      </c>
      <c r="L317" s="29">
        <f t="shared" si="1"/>
        <v>42164.25</v>
      </c>
    </row>
    <row r="318">
      <c r="B318" s="6" t="s">
        <v>354</v>
      </c>
      <c r="C318" s="6" t="s">
        <v>20</v>
      </c>
      <c r="D318" s="6" t="s">
        <v>63</v>
      </c>
      <c r="E318" s="6" t="s">
        <v>27</v>
      </c>
      <c r="F318" s="6" t="s">
        <v>28</v>
      </c>
      <c r="G318" s="6" t="s">
        <v>33</v>
      </c>
      <c r="H318" s="7">
        <v>45239.0</v>
      </c>
      <c r="I318" s="8">
        <v>251.0</v>
      </c>
      <c r="J318" s="8">
        <v>30.91</v>
      </c>
      <c r="K318" s="8">
        <v>82.77</v>
      </c>
      <c r="L318" s="29">
        <f t="shared" si="1"/>
        <v>7758.41</v>
      </c>
    </row>
    <row r="319">
      <c r="B319" s="6" t="s">
        <v>355</v>
      </c>
      <c r="C319" s="6" t="s">
        <v>14</v>
      </c>
      <c r="D319" s="6" t="s">
        <v>31</v>
      </c>
      <c r="E319" s="6" t="s">
        <v>22</v>
      </c>
      <c r="F319" s="6" t="s">
        <v>17</v>
      </c>
      <c r="G319" s="6" t="s">
        <v>18</v>
      </c>
      <c r="H319" s="7">
        <v>45240.0</v>
      </c>
      <c r="I319" s="6"/>
      <c r="J319" s="8">
        <v>192.35</v>
      </c>
      <c r="K319" s="8">
        <v>227.09</v>
      </c>
      <c r="L319" s="29">
        <f t="shared" si="1"/>
        <v>0</v>
      </c>
    </row>
    <row r="320">
      <c r="B320" s="6" t="s">
        <v>356</v>
      </c>
      <c r="C320" s="6" t="s">
        <v>14</v>
      </c>
      <c r="D320" s="6" t="s">
        <v>31</v>
      </c>
      <c r="E320" s="6" t="s">
        <v>16</v>
      </c>
      <c r="F320" s="6" t="s">
        <v>17</v>
      </c>
      <c r="G320" s="6" t="s">
        <v>18</v>
      </c>
      <c r="H320" s="7">
        <v>45241.0</v>
      </c>
      <c r="I320" s="8">
        <v>11.0</v>
      </c>
      <c r="J320" s="8">
        <v>184.66</v>
      </c>
      <c r="K320" s="8">
        <v>391.9</v>
      </c>
      <c r="L320" s="29">
        <f t="shared" si="1"/>
        <v>2031.26</v>
      </c>
    </row>
    <row r="321">
      <c r="B321" s="6" t="s">
        <v>357</v>
      </c>
      <c r="C321" s="6" t="s">
        <v>20</v>
      </c>
      <c r="D321" s="6" t="s">
        <v>31</v>
      </c>
      <c r="E321" s="6" t="s">
        <v>27</v>
      </c>
      <c r="F321" s="6" t="s">
        <v>17</v>
      </c>
      <c r="G321" s="6" t="s">
        <v>33</v>
      </c>
      <c r="H321" s="7">
        <v>45242.0</v>
      </c>
      <c r="I321" s="8">
        <v>234.0</v>
      </c>
      <c r="J321" s="8">
        <v>497.76</v>
      </c>
      <c r="K321" s="8">
        <v>67.79</v>
      </c>
      <c r="L321" s="29">
        <f t="shared" si="1"/>
        <v>116475.84</v>
      </c>
    </row>
    <row r="322">
      <c r="B322" s="6" t="s">
        <v>358</v>
      </c>
      <c r="C322" s="6" t="s">
        <v>14</v>
      </c>
      <c r="D322" s="6" t="s">
        <v>63</v>
      </c>
      <c r="E322" s="6" t="s">
        <v>27</v>
      </c>
      <c r="F322" s="6" t="s">
        <v>17</v>
      </c>
      <c r="G322" s="6" t="s">
        <v>23</v>
      </c>
      <c r="H322" s="7">
        <v>45243.0</v>
      </c>
      <c r="I322" s="6"/>
      <c r="J322" s="8">
        <v>225.94</v>
      </c>
      <c r="K322" s="8">
        <v>280.7</v>
      </c>
      <c r="L322" s="29">
        <f t="shared" si="1"/>
        <v>0</v>
      </c>
    </row>
    <row r="323">
      <c r="B323" s="6" t="s">
        <v>359</v>
      </c>
      <c r="C323" s="6" t="s">
        <v>26</v>
      </c>
      <c r="D323" s="6" t="s">
        <v>39</v>
      </c>
      <c r="E323" s="6" t="s">
        <v>55</v>
      </c>
      <c r="F323" s="6" t="s">
        <v>17</v>
      </c>
      <c r="G323" s="6" t="s">
        <v>23</v>
      </c>
      <c r="H323" s="7">
        <v>45244.0</v>
      </c>
      <c r="I323" s="8">
        <v>242.0</v>
      </c>
      <c r="J323" s="8">
        <v>170.12</v>
      </c>
      <c r="K323" s="8">
        <v>235.15</v>
      </c>
      <c r="L323" s="29">
        <f t="shared" si="1"/>
        <v>41169.04</v>
      </c>
    </row>
    <row r="324">
      <c r="B324" s="6" t="s">
        <v>360</v>
      </c>
      <c r="C324" s="6" t="s">
        <v>14</v>
      </c>
      <c r="D324" s="6" t="s">
        <v>63</v>
      </c>
      <c r="E324" s="6" t="s">
        <v>32</v>
      </c>
      <c r="F324" s="6" t="s">
        <v>17</v>
      </c>
      <c r="G324" s="6" t="s">
        <v>18</v>
      </c>
      <c r="H324" s="7">
        <v>45245.0</v>
      </c>
      <c r="I324" s="8">
        <v>470.0</v>
      </c>
      <c r="J324" s="8">
        <v>292.34</v>
      </c>
      <c r="K324" s="8">
        <v>235.42</v>
      </c>
      <c r="L324" s="29">
        <f t="shared" si="1"/>
        <v>137399.8</v>
      </c>
    </row>
    <row r="325">
      <c r="B325" s="6" t="s">
        <v>361</v>
      </c>
      <c r="C325" s="6" t="s">
        <v>61</v>
      </c>
      <c r="D325" s="6" t="s">
        <v>39</v>
      </c>
      <c r="E325" s="6" t="s">
        <v>32</v>
      </c>
      <c r="F325" s="6" t="s">
        <v>28</v>
      </c>
      <c r="G325" s="6" t="s">
        <v>18</v>
      </c>
      <c r="H325" s="7">
        <v>45246.0</v>
      </c>
      <c r="I325" s="8">
        <v>423.0</v>
      </c>
      <c r="J325" s="8">
        <v>48.94</v>
      </c>
      <c r="K325" s="8">
        <v>279.67</v>
      </c>
      <c r="L325" s="29">
        <f t="shared" si="1"/>
        <v>20701.62</v>
      </c>
    </row>
    <row r="326">
      <c r="B326" s="6" t="s">
        <v>362</v>
      </c>
      <c r="C326" s="6" t="s">
        <v>20</v>
      </c>
      <c r="D326" s="6" t="s">
        <v>39</v>
      </c>
      <c r="E326" s="6" t="s">
        <v>16</v>
      </c>
      <c r="F326" s="6" t="s">
        <v>17</v>
      </c>
      <c r="G326" s="6" t="s">
        <v>23</v>
      </c>
      <c r="H326" s="7">
        <v>45247.0</v>
      </c>
      <c r="I326" s="8">
        <v>426.0</v>
      </c>
      <c r="J326" s="8">
        <v>481.02</v>
      </c>
      <c r="K326" s="8">
        <v>371.99</v>
      </c>
      <c r="L326" s="29">
        <f t="shared" si="1"/>
        <v>204914.52</v>
      </c>
    </row>
    <row r="327">
      <c r="B327" s="6" t="s">
        <v>363</v>
      </c>
      <c r="C327" s="6" t="s">
        <v>26</v>
      </c>
      <c r="D327" s="6" t="s">
        <v>31</v>
      </c>
      <c r="E327" s="6" t="s">
        <v>32</v>
      </c>
      <c r="F327" s="6" t="s">
        <v>28</v>
      </c>
      <c r="G327" s="6" t="s">
        <v>33</v>
      </c>
      <c r="H327" s="7">
        <v>45248.0</v>
      </c>
      <c r="I327" s="8">
        <v>86.0</v>
      </c>
      <c r="J327" s="8">
        <v>319.31</v>
      </c>
      <c r="K327" s="8">
        <v>313.47</v>
      </c>
      <c r="L327" s="29">
        <f t="shared" si="1"/>
        <v>27460.66</v>
      </c>
    </row>
    <row r="328">
      <c r="B328" s="6" t="s">
        <v>364</v>
      </c>
      <c r="C328" s="6" t="s">
        <v>20</v>
      </c>
      <c r="D328" s="6" t="s">
        <v>15</v>
      </c>
      <c r="E328" s="6" t="s">
        <v>22</v>
      </c>
      <c r="F328" s="6" t="s">
        <v>28</v>
      </c>
      <c r="G328" s="6" t="s">
        <v>18</v>
      </c>
      <c r="H328" s="7">
        <v>45249.0</v>
      </c>
      <c r="I328" s="8">
        <v>125.0</v>
      </c>
      <c r="J328" s="8">
        <v>378.64</v>
      </c>
      <c r="K328" s="8">
        <v>24.34</v>
      </c>
      <c r="L328" s="29">
        <f t="shared" si="1"/>
        <v>47330</v>
      </c>
    </row>
    <row r="329">
      <c r="B329" s="6" t="s">
        <v>365</v>
      </c>
      <c r="C329" s="6" t="s">
        <v>61</v>
      </c>
      <c r="D329" s="6" t="s">
        <v>21</v>
      </c>
      <c r="E329" s="6"/>
      <c r="F329" s="6" t="s">
        <v>17</v>
      </c>
      <c r="G329" s="6" t="s">
        <v>18</v>
      </c>
      <c r="H329" s="7">
        <v>45250.0</v>
      </c>
      <c r="I329" s="8">
        <v>163.0</v>
      </c>
      <c r="J329" s="8">
        <v>89.39</v>
      </c>
      <c r="K329" s="8">
        <v>341.39</v>
      </c>
      <c r="L329" s="29">
        <f t="shared" si="1"/>
        <v>14570.57</v>
      </c>
    </row>
    <row r="330">
      <c r="B330" s="6" t="s">
        <v>366</v>
      </c>
      <c r="C330" s="6" t="s">
        <v>61</v>
      </c>
      <c r="D330" s="6" t="s">
        <v>31</v>
      </c>
      <c r="E330" s="6" t="s">
        <v>16</v>
      </c>
      <c r="F330" s="6" t="s">
        <v>28</v>
      </c>
      <c r="G330" s="6" t="s">
        <v>23</v>
      </c>
      <c r="H330" s="7">
        <v>45251.0</v>
      </c>
      <c r="I330" s="8">
        <v>415.0</v>
      </c>
      <c r="J330" s="8">
        <v>207.69</v>
      </c>
      <c r="K330" s="8">
        <v>91.77</v>
      </c>
      <c r="L330" s="29">
        <f t="shared" si="1"/>
        <v>86191.35</v>
      </c>
    </row>
    <row r="331">
      <c r="B331" s="6" t="s">
        <v>367</v>
      </c>
      <c r="C331" s="6" t="s">
        <v>61</v>
      </c>
      <c r="D331" s="6" t="s">
        <v>31</v>
      </c>
      <c r="E331" s="6" t="s">
        <v>32</v>
      </c>
      <c r="F331" s="6" t="s">
        <v>28</v>
      </c>
      <c r="G331" s="6" t="s">
        <v>33</v>
      </c>
      <c r="H331" s="7">
        <v>45252.0</v>
      </c>
      <c r="I331" s="8">
        <v>112.0</v>
      </c>
      <c r="J331" s="8">
        <v>214.23</v>
      </c>
      <c r="K331" s="8">
        <v>152.01</v>
      </c>
      <c r="L331" s="29">
        <f t="shared" si="1"/>
        <v>23993.76</v>
      </c>
    </row>
    <row r="332">
      <c r="B332" s="6" t="s">
        <v>368</v>
      </c>
      <c r="C332" s="6" t="s">
        <v>14</v>
      </c>
      <c r="D332" s="6" t="s">
        <v>15</v>
      </c>
      <c r="E332" s="6" t="s">
        <v>22</v>
      </c>
      <c r="F332" s="6" t="s">
        <v>28</v>
      </c>
      <c r="G332" s="6" t="s">
        <v>23</v>
      </c>
      <c r="H332" s="7">
        <v>45253.0</v>
      </c>
      <c r="I332" s="8">
        <v>203.0</v>
      </c>
      <c r="J332" s="8">
        <v>411.79</v>
      </c>
      <c r="K332" s="8">
        <v>185.77</v>
      </c>
      <c r="L332" s="29">
        <f t="shared" si="1"/>
        <v>83593.37</v>
      </c>
    </row>
    <row r="333">
      <c r="B333" s="6" t="s">
        <v>369</v>
      </c>
      <c r="C333" s="6" t="s">
        <v>14</v>
      </c>
      <c r="D333" s="6" t="s">
        <v>21</v>
      </c>
      <c r="E333" s="6" t="s">
        <v>55</v>
      </c>
      <c r="F333" s="6" t="s">
        <v>28</v>
      </c>
      <c r="G333" s="6" t="s">
        <v>33</v>
      </c>
      <c r="H333" s="7">
        <v>45254.0</v>
      </c>
      <c r="I333" s="6"/>
      <c r="J333" s="8">
        <v>5.61</v>
      </c>
      <c r="K333" s="8">
        <v>193.4</v>
      </c>
      <c r="L333" s="29">
        <f t="shared" si="1"/>
        <v>0</v>
      </c>
    </row>
    <row r="334">
      <c r="B334" s="6" t="s">
        <v>370</v>
      </c>
      <c r="C334" s="6" t="s">
        <v>20</v>
      </c>
      <c r="D334" s="6" t="s">
        <v>63</v>
      </c>
      <c r="E334" s="6" t="s">
        <v>16</v>
      </c>
      <c r="F334" s="6" t="s">
        <v>28</v>
      </c>
      <c r="G334" s="6" t="s">
        <v>33</v>
      </c>
      <c r="H334" s="7">
        <v>45255.0</v>
      </c>
      <c r="I334" s="8">
        <v>368.0</v>
      </c>
      <c r="J334" s="8">
        <v>153.92</v>
      </c>
      <c r="K334" s="8">
        <v>175.2</v>
      </c>
      <c r="L334" s="29">
        <f t="shared" si="1"/>
        <v>56642.56</v>
      </c>
    </row>
    <row r="335">
      <c r="B335" s="6" t="s">
        <v>371</v>
      </c>
      <c r="C335" s="6" t="s">
        <v>20</v>
      </c>
      <c r="D335" s="6" t="s">
        <v>63</v>
      </c>
      <c r="E335" s="6" t="s">
        <v>55</v>
      </c>
      <c r="F335" s="6" t="s">
        <v>28</v>
      </c>
      <c r="G335" s="6" t="s">
        <v>33</v>
      </c>
      <c r="H335" s="7">
        <v>45256.0</v>
      </c>
      <c r="I335" s="8">
        <v>99.0</v>
      </c>
      <c r="J335" s="8">
        <v>490.71</v>
      </c>
      <c r="K335" s="8">
        <v>375.07</v>
      </c>
      <c r="L335" s="29">
        <f t="shared" si="1"/>
        <v>48580.29</v>
      </c>
    </row>
    <row r="336">
      <c r="B336" s="6" t="s">
        <v>372</v>
      </c>
      <c r="C336" s="6" t="s">
        <v>26</v>
      </c>
      <c r="D336" s="6" t="s">
        <v>31</v>
      </c>
      <c r="E336" s="6" t="s">
        <v>55</v>
      </c>
      <c r="F336" s="6" t="s">
        <v>17</v>
      </c>
      <c r="G336" s="6" t="s">
        <v>18</v>
      </c>
      <c r="H336" s="7">
        <v>45257.0</v>
      </c>
      <c r="I336" s="8">
        <v>183.0</v>
      </c>
      <c r="J336" s="8">
        <v>240.07</v>
      </c>
      <c r="K336" s="8">
        <v>283.0</v>
      </c>
      <c r="L336" s="29">
        <f t="shared" si="1"/>
        <v>43932.81</v>
      </c>
    </row>
    <row r="337">
      <c r="B337" s="6" t="s">
        <v>373</v>
      </c>
      <c r="C337" s="6"/>
      <c r="D337" s="6" t="s">
        <v>21</v>
      </c>
      <c r="E337" s="6" t="s">
        <v>55</v>
      </c>
      <c r="F337" s="6" t="s">
        <v>28</v>
      </c>
      <c r="G337" s="6" t="s">
        <v>23</v>
      </c>
      <c r="H337" s="7">
        <v>45258.0</v>
      </c>
      <c r="I337" s="8">
        <v>131.0</v>
      </c>
      <c r="J337" s="8">
        <v>194.35</v>
      </c>
      <c r="K337" s="8">
        <v>253.21</v>
      </c>
      <c r="L337" s="29">
        <f t="shared" si="1"/>
        <v>25459.85</v>
      </c>
    </row>
    <row r="338">
      <c r="B338" s="6" t="s">
        <v>374</v>
      </c>
      <c r="C338" s="6" t="s">
        <v>20</v>
      </c>
      <c r="D338" s="6" t="s">
        <v>31</v>
      </c>
      <c r="E338" s="6" t="s">
        <v>27</v>
      </c>
      <c r="F338" s="6" t="s">
        <v>28</v>
      </c>
      <c r="G338" s="6" t="s">
        <v>23</v>
      </c>
      <c r="H338" s="7">
        <v>45259.0</v>
      </c>
      <c r="I338" s="8">
        <v>152.0</v>
      </c>
      <c r="J338" s="8">
        <v>64.32</v>
      </c>
      <c r="K338" s="8">
        <v>21.84</v>
      </c>
      <c r="L338" s="29">
        <f t="shared" si="1"/>
        <v>9776.64</v>
      </c>
    </row>
    <row r="339">
      <c r="B339" s="6" t="s">
        <v>375</v>
      </c>
      <c r="C339" s="6" t="s">
        <v>14</v>
      </c>
      <c r="D339" s="6" t="s">
        <v>39</v>
      </c>
      <c r="E339" s="6" t="s">
        <v>27</v>
      </c>
      <c r="F339" s="6" t="s">
        <v>28</v>
      </c>
      <c r="G339" s="6" t="s">
        <v>33</v>
      </c>
      <c r="H339" s="7">
        <v>45260.0</v>
      </c>
      <c r="I339" s="8">
        <v>491.0</v>
      </c>
      <c r="J339" s="8">
        <v>487.21</v>
      </c>
      <c r="K339" s="8">
        <v>361.76</v>
      </c>
      <c r="L339" s="29">
        <f t="shared" si="1"/>
        <v>239220.11</v>
      </c>
    </row>
    <row r="340">
      <c r="B340" s="6" t="s">
        <v>376</v>
      </c>
      <c r="C340" s="6" t="s">
        <v>61</v>
      </c>
      <c r="D340" s="6" t="s">
        <v>31</v>
      </c>
      <c r="E340" s="6" t="s">
        <v>55</v>
      </c>
      <c r="F340" s="6" t="s">
        <v>17</v>
      </c>
      <c r="G340" s="6" t="s">
        <v>18</v>
      </c>
      <c r="H340" s="7">
        <v>45261.0</v>
      </c>
      <c r="I340" s="8">
        <v>115.0</v>
      </c>
      <c r="J340" s="8">
        <v>14.91</v>
      </c>
      <c r="K340" s="8">
        <v>363.94</v>
      </c>
      <c r="L340" s="29">
        <f t="shared" si="1"/>
        <v>1714.65</v>
      </c>
    </row>
    <row r="341">
      <c r="B341" s="6" t="s">
        <v>377</v>
      </c>
      <c r="C341" s="6" t="s">
        <v>20</v>
      </c>
      <c r="D341" s="6" t="s">
        <v>31</v>
      </c>
      <c r="E341" s="6" t="s">
        <v>16</v>
      </c>
      <c r="F341" s="6" t="s">
        <v>28</v>
      </c>
      <c r="G341" s="6" t="s">
        <v>18</v>
      </c>
      <c r="H341" s="7">
        <v>45262.0</v>
      </c>
      <c r="I341" s="8">
        <v>384.0</v>
      </c>
      <c r="J341" s="8">
        <v>369.9</v>
      </c>
      <c r="K341" s="8">
        <v>312.52</v>
      </c>
      <c r="L341" s="29">
        <f t="shared" si="1"/>
        <v>142041.6</v>
      </c>
    </row>
    <row r="342">
      <c r="B342" s="6" t="s">
        <v>378</v>
      </c>
      <c r="C342" s="6" t="s">
        <v>26</v>
      </c>
      <c r="D342" s="6" t="s">
        <v>63</v>
      </c>
      <c r="E342" s="6" t="s">
        <v>22</v>
      </c>
      <c r="F342" s="6" t="s">
        <v>17</v>
      </c>
      <c r="G342" s="6" t="s">
        <v>23</v>
      </c>
      <c r="H342" s="7">
        <v>45263.0</v>
      </c>
      <c r="I342" s="8">
        <v>437.0</v>
      </c>
      <c r="J342" s="8">
        <v>385.46</v>
      </c>
      <c r="K342" s="8">
        <v>4.8</v>
      </c>
      <c r="L342" s="29">
        <f t="shared" si="1"/>
        <v>168446.02</v>
      </c>
    </row>
    <row r="343">
      <c r="B343" s="6" t="s">
        <v>379</v>
      </c>
      <c r="C343" s="6" t="s">
        <v>14</v>
      </c>
      <c r="D343" s="6" t="s">
        <v>63</v>
      </c>
      <c r="E343" s="6" t="s">
        <v>22</v>
      </c>
      <c r="F343" s="6" t="s">
        <v>28</v>
      </c>
      <c r="G343" s="6" t="s">
        <v>18</v>
      </c>
      <c r="H343" s="7">
        <v>45264.0</v>
      </c>
      <c r="I343" s="8">
        <v>314.0</v>
      </c>
      <c r="J343" s="8">
        <v>125.61</v>
      </c>
      <c r="K343" s="8">
        <v>24.8</v>
      </c>
      <c r="L343" s="29">
        <f t="shared" si="1"/>
        <v>39441.54</v>
      </c>
    </row>
    <row r="344">
      <c r="B344" s="6" t="s">
        <v>380</v>
      </c>
      <c r="C344" s="6" t="s">
        <v>20</v>
      </c>
      <c r="D344" s="6" t="s">
        <v>63</v>
      </c>
      <c r="E344" s="6" t="s">
        <v>32</v>
      </c>
      <c r="F344" s="6" t="s">
        <v>17</v>
      </c>
      <c r="G344" s="6" t="s">
        <v>18</v>
      </c>
      <c r="H344" s="7">
        <v>45265.0</v>
      </c>
      <c r="I344" s="8">
        <v>369.0</v>
      </c>
      <c r="J344" s="8">
        <v>337.42</v>
      </c>
      <c r="K344" s="8">
        <v>91.64</v>
      </c>
      <c r="L344" s="29">
        <f t="shared" si="1"/>
        <v>124507.98</v>
      </c>
    </row>
    <row r="345">
      <c r="B345" s="6" t="s">
        <v>381</v>
      </c>
      <c r="C345" s="6" t="s">
        <v>20</v>
      </c>
      <c r="D345" s="6" t="s">
        <v>39</v>
      </c>
      <c r="E345" s="6" t="s">
        <v>16</v>
      </c>
      <c r="F345" s="6" t="s">
        <v>17</v>
      </c>
      <c r="G345" s="6" t="s">
        <v>33</v>
      </c>
      <c r="H345" s="7">
        <v>45266.0</v>
      </c>
      <c r="I345" s="8">
        <v>468.0</v>
      </c>
      <c r="J345" s="8">
        <v>51.0</v>
      </c>
      <c r="K345" s="8">
        <v>54.28</v>
      </c>
      <c r="L345" s="29">
        <f t="shared" si="1"/>
        <v>23868</v>
      </c>
    </row>
    <row r="346">
      <c r="B346" s="6" t="s">
        <v>382</v>
      </c>
      <c r="C346" s="6" t="s">
        <v>14</v>
      </c>
      <c r="D346" s="6" t="s">
        <v>63</v>
      </c>
      <c r="E346" s="6" t="s">
        <v>27</v>
      </c>
      <c r="F346" s="6" t="s">
        <v>28</v>
      </c>
      <c r="G346" s="6" t="s">
        <v>18</v>
      </c>
      <c r="H346" s="7">
        <v>45267.0</v>
      </c>
      <c r="I346" s="8">
        <v>326.0</v>
      </c>
      <c r="J346" s="8">
        <v>132.24</v>
      </c>
      <c r="K346" s="8">
        <v>160.74</v>
      </c>
      <c r="L346" s="29">
        <f t="shared" si="1"/>
        <v>43110.24</v>
      </c>
    </row>
    <row r="347">
      <c r="B347" s="6" t="s">
        <v>383</v>
      </c>
      <c r="C347" s="6" t="s">
        <v>20</v>
      </c>
      <c r="D347" s="6" t="s">
        <v>21</v>
      </c>
      <c r="E347" s="6" t="s">
        <v>55</v>
      </c>
      <c r="F347" s="6" t="s">
        <v>28</v>
      </c>
      <c r="G347" s="6" t="s">
        <v>33</v>
      </c>
      <c r="H347" s="7">
        <v>45268.0</v>
      </c>
      <c r="I347" s="8">
        <v>460.0</v>
      </c>
      <c r="J347" s="8">
        <v>395.01</v>
      </c>
      <c r="K347" s="8">
        <v>369.2</v>
      </c>
      <c r="L347" s="29">
        <f t="shared" si="1"/>
        <v>181704.6</v>
      </c>
    </row>
    <row r="348">
      <c r="B348" s="6" t="s">
        <v>384</v>
      </c>
      <c r="C348" s="6" t="s">
        <v>14</v>
      </c>
      <c r="D348" s="6" t="s">
        <v>15</v>
      </c>
      <c r="E348" s="6" t="s">
        <v>32</v>
      </c>
      <c r="F348" s="6" t="s">
        <v>17</v>
      </c>
      <c r="G348" s="6" t="s">
        <v>23</v>
      </c>
      <c r="H348" s="7">
        <v>45269.0</v>
      </c>
      <c r="I348" s="8">
        <v>132.0</v>
      </c>
      <c r="J348" s="8">
        <v>433.02</v>
      </c>
      <c r="K348" s="8">
        <v>189.88</v>
      </c>
      <c r="L348" s="29">
        <f t="shared" si="1"/>
        <v>57158.64</v>
      </c>
    </row>
    <row r="349">
      <c r="B349" s="6" t="s">
        <v>385</v>
      </c>
      <c r="C349" s="6" t="s">
        <v>61</v>
      </c>
      <c r="D349" s="6" t="s">
        <v>21</v>
      </c>
      <c r="E349" s="6" t="s">
        <v>22</v>
      </c>
      <c r="F349" s="6" t="s">
        <v>28</v>
      </c>
      <c r="G349" s="6" t="s">
        <v>18</v>
      </c>
      <c r="H349" s="7">
        <v>45270.0</v>
      </c>
      <c r="I349" s="8">
        <v>399.0</v>
      </c>
      <c r="J349" s="8">
        <v>306.2</v>
      </c>
      <c r="K349" s="8">
        <v>7.33</v>
      </c>
      <c r="L349" s="29">
        <f t="shared" si="1"/>
        <v>122173.8</v>
      </c>
    </row>
    <row r="350">
      <c r="B350" s="6" t="s">
        <v>386</v>
      </c>
      <c r="C350" s="6" t="s">
        <v>14</v>
      </c>
      <c r="D350" s="6" t="s">
        <v>21</v>
      </c>
      <c r="E350" s="6" t="s">
        <v>27</v>
      </c>
      <c r="F350" s="6" t="s">
        <v>17</v>
      </c>
      <c r="G350" s="6" t="s">
        <v>23</v>
      </c>
      <c r="H350" s="7">
        <v>45271.0</v>
      </c>
      <c r="I350" s="8">
        <v>18.0</v>
      </c>
      <c r="J350" s="8">
        <v>255.89</v>
      </c>
      <c r="K350" s="8">
        <v>114.53</v>
      </c>
      <c r="L350" s="29">
        <f t="shared" si="1"/>
        <v>4606.02</v>
      </c>
    </row>
    <row r="351">
      <c r="B351" s="6" t="s">
        <v>387</v>
      </c>
      <c r="C351" s="6" t="s">
        <v>14</v>
      </c>
      <c r="D351" s="6" t="s">
        <v>63</v>
      </c>
      <c r="E351" s="6" t="s">
        <v>27</v>
      </c>
      <c r="F351" s="6" t="s">
        <v>17</v>
      </c>
      <c r="G351" s="6" t="s">
        <v>23</v>
      </c>
      <c r="H351" s="7">
        <v>45272.0</v>
      </c>
      <c r="I351" s="8">
        <v>271.0</v>
      </c>
      <c r="J351" s="8">
        <v>83.86</v>
      </c>
      <c r="K351" s="8">
        <v>19.75</v>
      </c>
      <c r="L351" s="29">
        <f t="shared" si="1"/>
        <v>22726.06</v>
      </c>
    </row>
    <row r="352">
      <c r="B352" s="6" t="s">
        <v>388</v>
      </c>
      <c r="C352" s="6"/>
      <c r="D352" s="6" t="s">
        <v>15</v>
      </c>
      <c r="E352" s="6" t="s">
        <v>55</v>
      </c>
      <c r="F352" s="6" t="s">
        <v>17</v>
      </c>
      <c r="G352" s="6" t="s">
        <v>18</v>
      </c>
      <c r="H352" s="7">
        <v>45273.0</v>
      </c>
      <c r="I352" s="8">
        <v>82.0</v>
      </c>
      <c r="J352" s="8">
        <v>36.24</v>
      </c>
      <c r="K352" s="8">
        <v>16.44</v>
      </c>
      <c r="L352" s="29">
        <f t="shared" si="1"/>
        <v>2971.68</v>
      </c>
    </row>
    <row r="353">
      <c r="B353" s="6" t="s">
        <v>389</v>
      </c>
      <c r="C353" s="6" t="s">
        <v>20</v>
      </c>
      <c r="D353" s="6" t="s">
        <v>15</v>
      </c>
      <c r="E353" s="6" t="s">
        <v>22</v>
      </c>
      <c r="F353" s="6" t="s">
        <v>17</v>
      </c>
      <c r="G353" s="6" t="s">
        <v>18</v>
      </c>
      <c r="H353" s="7">
        <v>45274.0</v>
      </c>
      <c r="I353" s="8">
        <v>368.0</v>
      </c>
      <c r="J353" s="8">
        <v>63.24</v>
      </c>
      <c r="K353" s="8">
        <v>111.74</v>
      </c>
      <c r="L353" s="29">
        <f t="shared" si="1"/>
        <v>23272.32</v>
      </c>
    </row>
    <row r="354">
      <c r="B354" s="6" t="s">
        <v>390</v>
      </c>
      <c r="C354" s="6" t="s">
        <v>20</v>
      </c>
      <c r="D354" s="6" t="s">
        <v>15</v>
      </c>
      <c r="E354" s="6" t="s">
        <v>16</v>
      </c>
      <c r="F354" s="6" t="s">
        <v>17</v>
      </c>
      <c r="G354" s="6" t="s">
        <v>23</v>
      </c>
      <c r="H354" s="7">
        <v>45275.0</v>
      </c>
      <c r="I354" s="8">
        <v>232.0</v>
      </c>
      <c r="J354" s="8">
        <v>117.54</v>
      </c>
      <c r="K354" s="8">
        <v>111.69</v>
      </c>
      <c r="L354" s="29">
        <f t="shared" si="1"/>
        <v>27269.28</v>
      </c>
    </row>
    <row r="355">
      <c r="B355" s="6" t="s">
        <v>391</v>
      </c>
      <c r="C355" s="6" t="s">
        <v>14</v>
      </c>
      <c r="D355" s="6" t="s">
        <v>39</v>
      </c>
      <c r="E355" s="6" t="s">
        <v>27</v>
      </c>
      <c r="F355" s="6" t="s">
        <v>28</v>
      </c>
      <c r="G355" s="6" t="s">
        <v>18</v>
      </c>
      <c r="H355" s="7">
        <v>45276.0</v>
      </c>
      <c r="I355" s="8">
        <v>425.0</v>
      </c>
      <c r="J355" s="8">
        <v>174.13</v>
      </c>
      <c r="K355" s="8">
        <v>315.28</v>
      </c>
      <c r="L355" s="29">
        <f t="shared" si="1"/>
        <v>74005.25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3"/>
      <c r="B2" s="13"/>
      <c r="C2" s="13"/>
      <c r="D2" s="13"/>
      <c r="E2" s="13"/>
      <c r="F2" s="13"/>
    </row>
    <row r="3">
      <c r="A3" s="11" t="s">
        <v>436</v>
      </c>
      <c r="B3" s="11" t="s">
        <v>437</v>
      </c>
      <c r="C3" s="12"/>
      <c r="D3" s="12"/>
      <c r="E3" s="12"/>
      <c r="F3" s="12"/>
      <c r="G3" s="27"/>
      <c r="H3" s="27"/>
    </row>
    <row r="5">
      <c r="A5" s="5" t="s">
        <v>12</v>
      </c>
      <c r="B5" s="4" t="s">
        <v>2</v>
      </c>
      <c r="C5" s="4" t="s">
        <v>3</v>
      </c>
      <c r="D5" s="4" t="s">
        <v>4</v>
      </c>
      <c r="E5" s="4" t="s">
        <v>5</v>
      </c>
      <c r="F5" s="4" t="s">
        <v>6</v>
      </c>
      <c r="G5" s="4" t="s">
        <v>7</v>
      </c>
      <c r="H5" s="4" t="s">
        <v>8</v>
      </c>
      <c r="I5" s="4" t="s">
        <v>9</v>
      </c>
      <c r="J5" s="4" t="s">
        <v>10</v>
      </c>
      <c r="K5" s="4" t="s">
        <v>11</v>
      </c>
      <c r="L5" s="35" t="s">
        <v>438</v>
      </c>
    </row>
    <row r="6">
      <c r="B6" s="6" t="s">
        <v>13</v>
      </c>
      <c r="C6" s="6" t="s">
        <v>14</v>
      </c>
      <c r="D6" s="6" t="s">
        <v>15</v>
      </c>
      <c r="E6" s="6" t="s">
        <v>16</v>
      </c>
      <c r="F6" s="6" t="s">
        <v>17</v>
      </c>
      <c r="G6" s="6" t="s">
        <v>18</v>
      </c>
      <c r="H6" s="7">
        <v>44927.0</v>
      </c>
      <c r="I6" s="8">
        <v>235.0</v>
      </c>
      <c r="J6" s="8">
        <v>152.92</v>
      </c>
      <c r="K6" s="8">
        <v>153.6</v>
      </c>
      <c r="L6" s="3">
        <f t="shared" ref="L6:L355" si="1"> (I6 * J6) - (I6 * K6)</f>
        <v>-159.8</v>
      </c>
    </row>
    <row r="7">
      <c r="B7" s="6" t="s">
        <v>19</v>
      </c>
      <c r="C7" s="6" t="s">
        <v>20</v>
      </c>
      <c r="D7" s="6" t="s">
        <v>21</v>
      </c>
      <c r="E7" s="6" t="s">
        <v>22</v>
      </c>
      <c r="F7" s="6" t="s">
        <v>17</v>
      </c>
      <c r="G7" s="6" t="s">
        <v>23</v>
      </c>
      <c r="H7" s="7">
        <v>44928.0</v>
      </c>
      <c r="I7" s="8">
        <v>341.0</v>
      </c>
      <c r="J7" s="8">
        <v>467.92</v>
      </c>
      <c r="K7" s="8">
        <v>139.84</v>
      </c>
      <c r="L7" s="3">
        <f t="shared" si="1"/>
        <v>111875.28</v>
      </c>
      <c r="N7" s="20"/>
      <c r="O7" s="20"/>
      <c r="P7" s="20"/>
      <c r="Q7" s="20"/>
      <c r="R7" s="20"/>
      <c r="S7" s="20"/>
      <c r="T7" s="20"/>
    </row>
    <row r="8">
      <c r="B8" s="6" t="s">
        <v>25</v>
      </c>
      <c r="C8" s="6" t="s">
        <v>26</v>
      </c>
      <c r="D8" s="6" t="s">
        <v>21</v>
      </c>
      <c r="E8" s="6" t="s">
        <v>27</v>
      </c>
      <c r="F8" s="6" t="s">
        <v>28</v>
      </c>
      <c r="G8" s="6" t="s">
        <v>18</v>
      </c>
      <c r="H8" s="7">
        <v>44929.0</v>
      </c>
      <c r="I8" s="8">
        <v>179.0</v>
      </c>
      <c r="J8" s="8">
        <v>473.94</v>
      </c>
      <c r="K8" s="8">
        <v>97.14</v>
      </c>
      <c r="L8" s="3">
        <f t="shared" si="1"/>
        <v>67447.2</v>
      </c>
      <c r="N8" s="34" t="s">
        <v>439</v>
      </c>
      <c r="O8" s="32"/>
      <c r="P8" s="32"/>
      <c r="Q8" s="32"/>
      <c r="R8" s="32"/>
      <c r="S8" s="32"/>
      <c r="T8" s="32"/>
    </row>
    <row r="9">
      <c r="B9" s="6" t="s">
        <v>30</v>
      </c>
      <c r="C9" s="6" t="s">
        <v>14</v>
      </c>
      <c r="D9" s="6" t="s">
        <v>31</v>
      </c>
      <c r="E9" s="6" t="s">
        <v>32</v>
      </c>
      <c r="F9" s="6" t="s">
        <v>28</v>
      </c>
      <c r="G9" s="6" t="s">
        <v>33</v>
      </c>
      <c r="H9" s="7">
        <v>44930.0</v>
      </c>
      <c r="I9" s="8">
        <v>18.0</v>
      </c>
      <c r="J9" s="8">
        <v>314.53</v>
      </c>
      <c r="K9" s="8">
        <v>204.87</v>
      </c>
      <c r="L9" s="3">
        <f t="shared" si="1"/>
        <v>1973.88</v>
      </c>
      <c r="N9" s="34" t="s">
        <v>440</v>
      </c>
      <c r="O9" s="32"/>
      <c r="P9" s="32"/>
      <c r="Q9" s="32"/>
      <c r="R9" s="32"/>
      <c r="S9" s="32"/>
      <c r="T9" s="32"/>
    </row>
    <row r="10">
      <c r="B10" s="6" t="s">
        <v>36</v>
      </c>
      <c r="C10" s="6" t="s">
        <v>14</v>
      </c>
      <c r="D10" s="6" t="s">
        <v>21</v>
      </c>
      <c r="E10" s="6" t="s">
        <v>32</v>
      </c>
      <c r="F10" s="6" t="s">
        <v>28</v>
      </c>
      <c r="G10" s="6" t="s">
        <v>33</v>
      </c>
      <c r="H10" s="7">
        <v>44931.0</v>
      </c>
      <c r="I10" s="8">
        <v>472.0</v>
      </c>
      <c r="J10" s="8">
        <v>392.79</v>
      </c>
      <c r="K10" s="8">
        <v>330.46</v>
      </c>
      <c r="L10" s="3">
        <f t="shared" si="1"/>
        <v>29419.76</v>
      </c>
      <c r="N10" s="32"/>
      <c r="O10" s="32"/>
      <c r="P10" s="32"/>
      <c r="Q10" s="32"/>
      <c r="R10" s="32"/>
      <c r="S10" s="32"/>
      <c r="T10" s="32"/>
    </row>
    <row r="11">
      <c r="B11" s="6" t="s">
        <v>38</v>
      </c>
      <c r="C11" s="6" t="s">
        <v>20</v>
      </c>
      <c r="D11" s="6" t="s">
        <v>39</v>
      </c>
      <c r="E11" s="6" t="s">
        <v>27</v>
      </c>
      <c r="F11" s="6" t="s">
        <v>17</v>
      </c>
      <c r="G11" s="6" t="s">
        <v>18</v>
      </c>
      <c r="H11" s="7">
        <v>44932.0</v>
      </c>
      <c r="I11" s="8">
        <v>49.0</v>
      </c>
      <c r="J11" s="8">
        <v>308.07</v>
      </c>
      <c r="K11" s="8">
        <v>113.32</v>
      </c>
      <c r="L11" s="3">
        <f t="shared" si="1"/>
        <v>9542.75</v>
      </c>
      <c r="N11" s="34" t="s">
        <v>441</v>
      </c>
      <c r="O11" s="34" t="s">
        <v>442</v>
      </c>
      <c r="P11" s="32"/>
      <c r="Q11" s="32"/>
      <c r="R11" s="32"/>
      <c r="S11" s="32"/>
      <c r="T11" s="32"/>
    </row>
    <row r="12">
      <c r="B12" s="6" t="s">
        <v>42</v>
      </c>
      <c r="C12" s="6" t="s">
        <v>26</v>
      </c>
      <c r="D12" s="6" t="s">
        <v>15</v>
      </c>
      <c r="E12" s="6" t="s">
        <v>27</v>
      </c>
      <c r="F12" s="6" t="s">
        <v>17</v>
      </c>
      <c r="G12" s="6" t="s">
        <v>23</v>
      </c>
      <c r="H12" s="7">
        <v>44933.0</v>
      </c>
      <c r="I12" s="8">
        <v>34.0</v>
      </c>
      <c r="J12" s="8">
        <v>244.78</v>
      </c>
      <c r="K12" s="8">
        <v>377.07</v>
      </c>
      <c r="L12" s="3">
        <f t="shared" si="1"/>
        <v>-4497.86</v>
      </c>
      <c r="N12" s="32"/>
      <c r="O12" s="32"/>
      <c r="P12" s="32"/>
      <c r="Q12" s="32"/>
      <c r="R12" s="32"/>
      <c r="S12" s="32"/>
      <c r="T12" s="32"/>
    </row>
    <row r="13">
      <c r="B13" s="6" t="s">
        <v>44</v>
      </c>
      <c r="C13" s="6" t="s">
        <v>26</v>
      </c>
      <c r="D13" s="6" t="s">
        <v>21</v>
      </c>
      <c r="E13" s="6" t="s">
        <v>16</v>
      </c>
      <c r="F13" s="6" t="s">
        <v>17</v>
      </c>
      <c r="G13" s="6" t="s">
        <v>18</v>
      </c>
      <c r="H13" s="7">
        <v>44934.0</v>
      </c>
      <c r="I13" s="8">
        <v>270.0</v>
      </c>
      <c r="J13" s="8">
        <v>332.11</v>
      </c>
      <c r="K13" s="8">
        <v>349.59</v>
      </c>
      <c r="L13" s="3">
        <f t="shared" si="1"/>
        <v>-4719.6</v>
      </c>
      <c r="N13" s="34" t="s">
        <v>443</v>
      </c>
      <c r="O13" s="32"/>
      <c r="P13" s="32"/>
      <c r="Q13" s="32"/>
      <c r="R13" s="32"/>
      <c r="S13" s="32"/>
      <c r="T13" s="32"/>
    </row>
    <row r="14">
      <c r="B14" s="6" t="s">
        <v>45</v>
      </c>
      <c r="C14" s="6" t="s">
        <v>14</v>
      </c>
      <c r="D14" s="6" t="s">
        <v>21</v>
      </c>
      <c r="E14" s="6" t="s">
        <v>16</v>
      </c>
      <c r="F14" s="6" t="s">
        <v>17</v>
      </c>
      <c r="G14" s="6" t="s">
        <v>23</v>
      </c>
      <c r="H14" s="7">
        <v>44935.0</v>
      </c>
      <c r="I14" s="8">
        <v>404.0</v>
      </c>
      <c r="J14" s="8">
        <v>278.74</v>
      </c>
      <c r="K14" s="8">
        <v>66.38</v>
      </c>
      <c r="L14" s="3">
        <f t="shared" si="1"/>
        <v>85793.44</v>
      </c>
      <c r="N14" s="34" t="s">
        <v>444</v>
      </c>
      <c r="O14" s="32"/>
      <c r="P14" s="32"/>
      <c r="Q14" s="32"/>
      <c r="R14" s="32"/>
      <c r="S14" s="32"/>
      <c r="T14" s="32"/>
    </row>
    <row r="15">
      <c r="B15" s="6" t="s">
        <v>47</v>
      </c>
      <c r="C15" s="6"/>
      <c r="D15" s="6" t="s">
        <v>31</v>
      </c>
      <c r="E15" s="6" t="s">
        <v>32</v>
      </c>
      <c r="F15" s="6" t="s">
        <v>17</v>
      </c>
      <c r="G15" s="6" t="s">
        <v>33</v>
      </c>
      <c r="H15" s="7">
        <v>44936.0</v>
      </c>
      <c r="I15" s="8">
        <v>452.0</v>
      </c>
      <c r="J15" s="8">
        <v>300.75</v>
      </c>
      <c r="K15" s="8">
        <v>314.94</v>
      </c>
      <c r="L15" s="3">
        <f t="shared" si="1"/>
        <v>-6413.88</v>
      </c>
      <c r="N15" s="34" t="s">
        <v>445</v>
      </c>
      <c r="O15" s="32"/>
      <c r="P15" s="32"/>
      <c r="Q15" s="32"/>
      <c r="R15" s="32"/>
      <c r="S15" s="32"/>
      <c r="T15" s="32"/>
    </row>
    <row r="16">
      <c r="B16" s="6" t="s">
        <v>49</v>
      </c>
      <c r="C16" s="6" t="s">
        <v>14</v>
      </c>
      <c r="D16" s="6" t="s">
        <v>31</v>
      </c>
      <c r="E16" s="6" t="s">
        <v>22</v>
      </c>
      <c r="F16" s="6" t="s">
        <v>17</v>
      </c>
      <c r="G16" s="6" t="s">
        <v>23</v>
      </c>
      <c r="H16" s="7">
        <v>44937.0</v>
      </c>
      <c r="I16" s="8">
        <v>235.0</v>
      </c>
      <c r="J16" s="8">
        <v>393.0</v>
      </c>
      <c r="K16" s="8">
        <v>230.69</v>
      </c>
      <c r="L16" s="3">
        <f t="shared" si="1"/>
        <v>38142.85</v>
      </c>
      <c r="N16" s="32"/>
      <c r="O16" s="32"/>
      <c r="P16" s="32"/>
      <c r="Q16" s="32"/>
      <c r="R16" s="32"/>
      <c r="S16" s="32"/>
      <c r="T16" s="32"/>
    </row>
    <row r="17">
      <c r="B17" s="6" t="s">
        <v>50</v>
      </c>
      <c r="C17" s="6" t="s">
        <v>14</v>
      </c>
      <c r="D17" s="6" t="s">
        <v>39</v>
      </c>
      <c r="E17" s="6" t="s">
        <v>32</v>
      </c>
      <c r="F17" s="6" t="s">
        <v>28</v>
      </c>
      <c r="G17" s="6" t="s">
        <v>33</v>
      </c>
      <c r="H17" s="7">
        <v>44938.0</v>
      </c>
      <c r="I17" s="8">
        <v>481.0</v>
      </c>
      <c r="J17" s="8">
        <v>243.05</v>
      </c>
      <c r="K17" s="8">
        <v>227.5</v>
      </c>
      <c r="L17" s="3">
        <f t="shared" si="1"/>
        <v>7479.55</v>
      </c>
      <c r="N17" s="34" t="s">
        <v>446</v>
      </c>
      <c r="O17" s="32"/>
      <c r="P17" s="32"/>
      <c r="Q17" s="32"/>
      <c r="R17" s="32"/>
      <c r="S17" s="32"/>
      <c r="T17" s="32"/>
    </row>
    <row r="18">
      <c r="B18" s="6" t="s">
        <v>51</v>
      </c>
      <c r="C18" s="6" t="s">
        <v>14</v>
      </c>
      <c r="D18" s="6" t="s">
        <v>15</v>
      </c>
      <c r="E18" s="6" t="s">
        <v>22</v>
      </c>
      <c r="F18" s="6" t="s">
        <v>28</v>
      </c>
      <c r="G18" s="6" t="s">
        <v>23</v>
      </c>
      <c r="H18" s="7">
        <v>44939.0</v>
      </c>
      <c r="I18" s="8">
        <v>133.0</v>
      </c>
      <c r="J18" s="8">
        <v>25.17</v>
      </c>
      <c r="K18" s="8">
        <v>157.64</v>
      </c>
      <c r="L18" s="3">
        <f t="shared" si="1"/>
        <v>-17618.51</v>
      </c>
      <c r="N18" s="34" t="s">
        <v>447</v>
      </c>
      <c r="O18" s="32"/>
      <c r="P18" s="32"/>
      <c r="Q18" s="32"/>
      <c r="R18" s="32"/>
      <c r="S18" s="32"/>
      <c r="T18" s="32"/>
    </row>
    <row r="19">
      <c r="B19" s="6" t="s">
        <v>52</v>
      </c>
      <c r="C19" s="6" t="s">
        <v>14</v>
      </c>
      <c r="D19" s="6" t="s">
        <v>31</v>
      </c>
      <c r="E19" s="6" t="s">
        <v>22</v>
      </c>
      <c r="F19" s="6" t="s">
        <v>28</v>
      </c>
      <c r="G19" s="6" t="s">
        <v>23</v>
      </c>
      <c r="H19" s="7">
        <v>44940.0</v>
      </c>
      <c r="I19" s="8">
        <v>472.0</v>
      </c>
      <c r="J19" s="8">
        <v>86.18</v>
      </c>
      <c r="K19" s="8">
        <v>201.46</v>
      </c>
      <c r="L19" s="3">
        <f t="shared" si="1"/>
        <v>-54412.16</v>
      </c>
      <c r="N19" s="34" t="s">
        <v>448</v>
      </c>
      <c r="O19" s="32"/>
      <c r="P19" s="32"/>
      <c r="Q19" s="32"/>
      <c r="R19" s="32"/>
      <c r="S19" s="32"/>
      <c r="T19" s="32"/>
    </row>
    <row r="20">
      <c r="B20" s="6" t="s">
        <v>53</v>
      </c>
      <c r="C20" s="6" t="s">
        <v>20</v>
      </c>
      <c r="D20" s="6" t="s">
        <v>21</v>
      </c>
      <c r="E20" s="6" t="s">
        <v>16</v>
      </c>
      <c r="F20" s="6" t="s">
        <v>28</v>
      </c>
      <c r="G20" s="6" t="s">
        <v>23</v>
      </c>
      <c r="H20" s="7">
        <v>44941.0</v>
      </c>
      <c r="I20" s="8">
        <v>47.0</v>
      </c>
      <c r="J20" s="8">
        <v>222.11</v>
      </c>
      <c r="K20" s="8">
        <v>160.08</v>
      </c>
      <c r="L20" s="3">
        <f t="shared" si="1"/>
        <v>2915.41</v>
      </c>
      <c r="N20" s="20"/>
      <c r="O20" s="20"/>
      <c r="P20" s="20"/>
      <c r="Q20" s="20"/>
      <c r="R20" s="20"/>
      <c r="S20" s="20"/>
      <c r="T20" s="20"/>
      <c r="U20" s="10"/>
    </row>
    <row r="21">
      <c r="B21" s="6" t="s">
        <v>54</v>
      </c>
      <c r="C21" s="6" t="s">
        <v>26</v>
      </c>
      <c r="D21" s="6" t="s">
        <v>15</v>
      </c>
      <c r="E21" s="6" t="s">
        <v>55</v>
      </c>
      <c r="F21" s="6" t="s">
        <v>17</v>
      </c>
      <c r="G21" s="6" t="s">
        <v>18</v>
      </c>
      <c r="H21" s="7">
        <v>44942.0</v>
      </c>
      <c r="I21" s="8">
        <v>337.0</v>
      </c>
      <c r="J21" s="8">
        <v>363.79</v>
      </c>
      <c r="K21" s="8">
        <v>216.81</v>
      </c>
      <c r="L21" s="3">
        <f t="shared" si="1"/>
        <v>49532.26</v>
      </c>
      <c r="N21" s="20"/>
      <c r="O21" s="20"/>
      <c r="P21" s="20"/>
      <c r="Q21" s="20"/>
      <c r="R21" s="20"/>
      <c r="S21" s="20"/>
      <c r="T21" s="20"/>
      <c r="U21" s="10"/>
    </row>
    <row r="22">
      <c r="B22" s="6" t="s">
        <v>56</v>
      </c>
      <c r="C22" s="6" t="s">
        <v>20</v>
      </c>
      <c r="D22" s="6" t="s">
        <v>15</v>
      </c>
      <c r="E22" s="6" t="s">
        <v>55</v>
      </c>
      <c r="F22" s="6" t="s">
        <v>17</v>
      </c>
      <c r="G22" s="6" t="s">
        <v>18</v>
      </c>
      <c r="H22" s="7">
        <v>44943.0</v>
      </c>
      <c r="I22" s="8">
        <v>260.0</v>
      </c>
      <c r="J22" s="8">
        <v>298.67</v>
      </c>
      <c r="K22" s="8">
        <v>251.92</v>
      </c>
      <c r="L22" s="3">
        <f t="shared" si="1"/>
        <v>12155</v>
      </c>
    </row>
    <row r="23">
      <c r="B23" s="6" t="s">
        <v>57</v>
      </c>
      <c r="C23" s="6"/>
      <c r="D23" s="6" t="s">
        <v>21</v>
      </c>
      <c r="E23" s="6" t="s">
        <v>27</v>
      </c>
      <c r="F23" s="6" t="s">
        <v>28</v>
      </c>
      <c r="G23" s="6" t="s">
        <v>33</v>
      </c>
      <c r="H23" s="7">
        <v>44944.0</v>
      </c>
      <c r="I23" s="8">
        <v>398.0</v>
      </c>
      <c r="J23" s="8">
        <v>326.9</v>
      </c>
      <c r="K23" s="8">
        <v>270.37</v>
      </c>
      <c r="L23" s="3">
        <f t="shared" si="1"/>
        <v>22498.94</v>
      </c>
    </row>
    <row r="24">
      <c r="B24" s="6" t="s">
        <v>58</v>
      </c>
      <c r="C24" s="6" t="s">
        <v>20</v>
      </c>
      <c r="D24" s="6" t="s">
        <v>31</v>
      </c>
      <c r="E24" s="6" t="s">
        <v>16</v>
      </c>
      <c r="F24" s="6" t="s">
        <v>17</v>
      </c>
      <c r="G24" s="6" t="s">
        <v>33</v>
      </c>
      <c r="H24" s="7">
        <v>44945.0</v>
      </c>
      <c r="I24" s="8">
        <v>185.0</v>
      </c>
      <c r="J24" s="8">
        <v>242.24</v>
      </c>
      <c r="K24" s="8">
        <v>213.93</v>
      </c>
      <c r="L24" s="3">
        <f t="shared" si="1"/>
        <v>5237.35</v>
      </c>
    </row>
    <row r="25">
      <c r="B25" s="6" t="s">
        <v>59</v>
      </c>
      <c r="C25" s="6" t="s">
        <v>14</v>
      </c>
      <c r="D25" s="6" t="s">
        <v>21</v>
      </c>
      <c r="E25" s="6" t="s">
        <v>22</v>
      </c>
      <c r="F25" s="6" t="s">
        <v>28</v>
      </c>
      <c r="G25" s="6" t="s">
        <v>18</v>
      </c>
      <c r="H25" s="7">
        <v>44946.0</v>
      </c>
      <c r="I25" s="8">
        <v>99.0</v>
      </c>
      <c r="J25" s="8">
        <v>309.79</v>
      </c>
      <c r="K25" s="8">
        <v>289.13</v>
      </c>
      <c r="L25" s="3">
        <f t="shared" si="1"/>
        <v>2045.34</v>
      </c>
    </row>
    <row r="26">
      <c r="B26" s="6" t="s">
        <v>60</v>
      </c>
      <c r="C26" s="6" t="s">
        <v>61</v>
      </c>
      <c r="D26" s="6" t="s">
        <v>15</v>
      </c>
      <c r="E26" s="6" t="s">
        <v>55</v>
      </c>
      <c r="F26" s="6" t="s">
        <v>28</v>
      </c>
      <c r="G26" s="6" t="s">
        <v>33</v>
      </c>
      <c r="H26" s="7">
        <v>44947.0</v>
      </c>
      <c r="I26" s="8">
        <v>411.0</v>
      </c>
      <c r="J26" s="8">
        <v>167.86</v>
      </c>
      <c r="K26" s="8">
        <v>58.23</v>
      </c>
      <c r="L26" s="3">
        <f t="shared" si="1"/>
        <v>45057.93</v>
      </c>
    </row>
    <row r="27">
      <c r="B27" s="6" t="s">
        <v>62</v>
      </c>
      <c r="C27" s="6" t="s">
        <v>26</v>
      </c>
      <c r="D27" s="6" t="s">
        <v>63</v>
      </c>
      <c r="E27" s="6" t="s">
        <v>22</v>
      </c>
      <c r="F27" s="6" t="s">
        <v>28</v>
      </c>
      <c r="G27" s="6" t="s">
        <v>18</v>
      </c>
      <c r="H27" s="7">
        <v>44948.0</v>
      </c>
      <c r="I27" s="8">
        <v>463.0</v>
      </c>
      <c r="J27" s="8">
        <v>237.74</v>
      </c>
      <c r="K27" s="8">
        <v>86.37</v>
      </c>
      <c r="L27" s="3">
        <f t="shared" si="1"/>
        <v>70084.31</v>
      </c>
    </row>
    <row r="28">
      <c r="B28" s="6" t="s">
        <v>64</v>
      </c>
      <c r="C28" s="6" t="s">
        <v>61</v>
      </c>
      <c r="D28" s="6" t="s">
        <v>63</v>
      </c>
      <c r="E28" s="6" t="s">
        <v>55</v>
      </c>
      <c r="F28" s="6" t="s">
        <v>17</v>
      </c>
      <c r="G28" s="6" t="s">
        <v>23</v>
      </c>
      <c r="H28" s="7">
        <v>44949.0</v>
      </c>
      <c r="I28" s="8">
        <v>46.0</v>
      </c>
      <c r="J28" s="8">
        <v>373.42</v>
      </c>
      <c r="K28" s="8">
        <v>327.86</v>
      </c>
      <c r="L28" s="3">
        <f t="shared" si="1"/>
        <v>2095.76</v>
      </c>
    </row>
    <row r="29">
      <c r="B29" s="6" t="s">
        <v>65</v>
      </c>
      <c r="C29" s="6" t="s">
        <v>20</v>
      </c>
      <c r="D29" s="6" t="s">
        <v>39</v>
      </c>
      <c r="E29" s="6" t="s">
        <v>55</v>
      </c>
      <c r="F29" s="6" t="s">
        <v>28</v>
      </c>
      <c r="G29" s="6" t="s">
        <v>33</v>
      </c>
      <c r="H29" s="7">
        <v>44950.0</v>
      </c>
      <c r="I29" s="8">
        <v>325.0</v>
      </c>
      <c r="J29" s="8">
        <v>436.56</v>
      </c>
      <c r="K29" s="8">
        <v>130.37</v>
      </c>
      <c r="L29" s="3">
        <f t="shared" si="1"/>
        <v>99511.75</v>
      </c>
    </row>
    <row r="30">
      <c r="B30" s="6" t="s">
        <v>66</v>
      </c>
      <c r="C30" s="6" t="s">
        <v>20</v>
      </c>
      <c r="D30" s="6" t="s">
        <v>21</v>
      </c>
      <c r="E30" s="6"/>
      <c r="F30" s="6" t="s">
        <v>28</v>
      </c>
      <c r="G30" s="6" t="s">
        <v>33</v>
      </c>
      <c r="H30" s="7">
        <v>44951.0</v>
      </c>
      <c r="I30" s="8">
        <v>185.0</v>
      </c>
      <c r="J30" s="8">
        <v>219.66</v>
      </c>
      <c r="K30" s="8">
        <v>11.11</v>
      </c>
      <c r="L30" s="3">
        <f t="shared" si="1"/>
        <v>38581.75</v>
      </c>
    </row>
    <row r="31">
      <c r="B31" s="6" t="s">
        <v>67</v>
      </c>
      <c r="C31" s="6" t="s">
        <v>61</v>
      </c>
      <c r="D31" s="6" t="s">
        <v>21</v>
      </c>
      <c r="E31" s="6" t="s">
        <v>16</v>
      </c>
      <c r="F31" s="6" t="s">
        <v>28</v>
      </c>
      <c r="G31" s="6" t="s">
        <v>18</v>
      </c>
      <c r="H31" s="7">
        <v>44952.0</v>
      </c>
      <c r="I31" s="8">
        <v>470.0</v>
      </c>
      <c r="J31" s="8">
        <v>26.61</v>
      </c>
      <c r="K31" s="8">
        <v>63.21</v>
      </c>
      <c r="L31" s="3">
        <f t="shared" si="1"/>
        <v>-17202</v>
      </c>
    </row>
    <row r="32">
      <c r="B32" s="6" t="s">
        <v>68</v>
      </c>
      <c r="C32" s="6" t="s">
        <v>61</v>
      </c>
      <c r="D32" s="6" t="s">
        <v>39</v>
      </c>
      <c r="E32" s="6" t="s">
        <v>32</v>
      </c>
      <c r="F32" s="6" t="s">
        <v>17</v>
      </c>
      <c r="G32" s="6" t="s">
        <v>33</v>
      </c>
      <c r="H32" s="7">
        <v>44953.0</v>
      </c>
      <c r="I32" s="8">
        <v>293.0</v>
      </c>
      <c r="J32" s="8">
        <v>85.03</v>
      </c>
      <c r="K32" s="8">
        <v>91.0</v>
      </c>
      <c r="L32" s="3">
        <f t="shared" si="1"/>
        <v>-1749.21</v>
      </c>
    </row>
    <row r="33">
      <c r="B33" s="6" t="s">
        <v>69</v>
      </c>
      <c r="C33" s="6" t="s">
        <v>61</v>
      </c>
      <c r="D33" s="6" t="s">
        <v>39</v>
      </c>
      <c r="E33" s="6" t="s">
        <v>22</v>
      </c>
      <c r="F33" s="6" t="s">
        <v>17</v>
      </c>
      <c r="G33" s="6" t="s">
        <v>33</v>
      </c>
      <c r="H33" s="7">
        <v>44954.0</v>
      </c>
      <c r="I33" s="8">
        <v>462.0</v>
      </c>
      <c r="J33" s="6"/>
      <c r="K33" s="8">
        <v>383.01</v>
      </c>
      <c r="L33" s="3">
        <f t="shared" si="1"/>
        <v>-176950.62</v>
      </c>
    </row>
    <row r="34">
      <c r="B34" s="6" t="s">
        <v>70</v>
      </c>
      <c r="C34" s="6" t="s">
        <v>20</v>
      </c>
      <c r="D34" s="6" t="s">
        <v>39</v>
      </c>
      <c r="E34" s="6" t="s">
        <v>16</v>
      </c>
      <c r="F34" s="6" t="s">
        <v>28</v>
      </c>
      <c r="G34" s="6" t="s">
        <v>23</v>
      </c>
      <c r="H34" s="7">
        <v>44955.0</v>
      </c>
      <c r="I34" s="8">
        <v>470.0</v>
      </c>
      <c r="J34" s="8">
        <v>328.37</v>
      </c>
      <c r="K34" s="8">
        <v>230.07</v>
      </c>
      <c r="L34" s="3">
        <f t="shared" si="1"/>
        <v>46201</v>
      </c>
    </row>
    <row r="35">
      <c r="B35" s="6" t="s">
        <v>71</v>
      </c>
      <c r="C35" s="6" t="s">
        <v>20</v>
      </c>
      <c r="D35" s="6" t="s">
        <v>15</v>
      </c>
      <c r="E35" s="6" t="s">
        <v>16</v>
      </c>
      <c r="F35" s="6" t="s">
        <v>17</v>
      </c>
      <c r="G35" s="6" t="s">
        <v>33</v>
      </c>
      <c r="H35" s="7">
        <v>44956.0</v>
      </c>
      <c r="I35" s="8">
        <v>90.0</v>
      </c>
      <c r="J35" s="8">
        <v>169.5</v>
      </c>
      <c r="K35" s="8">
        <v>373.23</v>
      </c>
      <c r="L35" s="3">
        <f t="shared" si="1"/>
        <v>-18335.7</v>
      </c>
    </row>
    <row r="36">
      <c r="B36" s="6" t="s">
        <v>72</v>
      </c>
      <c r="C36" s="6"/>
      <c r="D36" s="6" t="s">
        <v>21</v>
      </c>
      <c r="E36" s="6" t="s">
        <v>16</v>
      </c>
      <c r="F36" s="6" t="s">
        <v>17</v>
      </c>
      <c r="G36" s="6" t="s">
        <v>23</v>
      </c>
      <c r="H36" s="7">
        <v>44957.0</v>
      </c>
      <c r="I36" s="8">
        <v>123.0</v>
      </c>
      <c r="J36" s="8">
        <v>273.53</v>
      </c>
      <c r="K36" s="8">
        <v>230.92</v>
      </c>
      <c r="L36" s="3">
        <f t="shared" si="1"/>
        <v>5241.03</v>
      </c>
    </row>
    <row r="37">
      <c r="B37" s="6" t="s">
        <v>73</v>
      </c>
      <c r="C37" s="6" t="s">
        <v>26</v>
      </c>
      <c r="D37" s="6" t="s">
        <v>15</v>
      </c>
      <c r="E37" s="6" t="s">
        <v>16</v>
      </c>
      <c r="F37" s="6" t="s">
        <v>17</v>
      </c>
      <c r="G37" s="6" t="s">
        <v>18</v>
      </c>
      <c r="H37" s="7">
        <v>44958.0</v>
      </c>
      <c r="I37" s="8">
        <v>49.0</v>
      </c>
      <c r="J37" s="8">
        <v>249.17</v>
      </c>
      <c r="K37" s="8">
        <v>192.78</v>
      </c>
      <c r="L37" s="3">
        <f t="shared" si="1"/>
        <v>2763.11</v>
      </c>
    </row>
    <row r="38">
      <c r="B38" s="6" t="s">
        <v>74</v>
      </c>
      <c r="C38" s="6" t="s">
        <v>20</v>
      </c>
      <c r="D38" s="6" t="s">
        <v>39</v>
      </c>
      <c r="E38" s="6" t="s">
        <v>16</v>
      </c>
      <c r="F38" s="6" t="s">
        <v>17</v>
      </c>
      <c r="G38" s="6" t="s">
        <v>33</v>
      </c>
      <c r="H38" s="7">
        <v>44959.0</v>
      </c>
      <c r="I38" s="8">
        <v>310.0</v>
      </c>
      <c r="J38" s="8">
        <v>45.36</v>
      </c>
      <c r="K38" s="8">
        <v>126.86</v>
      </c>
      <c r="L38" s="3">
        <f t="shared" si="1"/>
        <v>-25265</v>
      </c>
    </row>
    <row r="39">
      <c r="B39" s="6" t="s">
        <v>75</v>
      </c>
      <c r="C39" s="6" t="s">
        <v>61</v>
      </c>
      <c r="D39" s="6" t="s">
        <v>21</v>
      </c>
      <c r="E39" s="6" t="s">
        <v>27</v>
      </c>
      <c r="F39" s="6" t="s">
        <v>17</v>
      </c>
      <c r="G39" s="6" t="s">
        <v>23</v>
      </c>
      <c r="H39" s="7">
        <v>44960.0</v>
      </c>
      <c r="I39" s="8">
        <v>233.0</v>
      </c>
      <c r="J39" s="8">
        <v>204.61</v>
      </c>
      <c r="K39" s="8">
        <v>243.34</v>
      </c>
      <c r="L39" s="3">
        <f t="shared" si="1"/>
        <v>-9024.09</v>
      </c>
    </row>
    <row r="40">
      <c r="B40" s="6" t="s">
        <v>76</v>
      </c>
      <c r="C40" s="6" t="s">
        <v>61</v>
      </c>
      <c r="D40" s="6" t="s">
        <v>15</v>
      </c>
      <c r="E40" s="6" t="s">
        <v>22</v>
      </c>
      <c r="F40" s="6" t="s">
        <v>17</v>
      </c>
      <c r="G40" s="6" t="s">
        <v>18</v>
      </c>
      <c r="H40" s="7">
        <v>44961.0</v>
      </c>
      <c r="I40" s="8">
        <v>327.0</v>
      </c>
      <c r="J40" s="8">
        <v>114.18</v>
      </c>
      <c r="K40" s="8">
        <v>57.4</v>
      </c>
      <c r="L40" s="3">
        <f t="shared" si="1"/>
        <v>18567.06</v>
      </c>
    </row>
    <row r="41">
      <c r="B41" s="6" t="s">
        <v>77</v>
      </c>
      <c r="C41" s="6" t="s">
        <v>26</v>
      </c>
      <c r="D41" s="6" t="s">
        <v>15</v>
      </c>
      <c r="E41" s="6" t="s">
        <v>16</v>
      </c>
      <c r="F41" s="6" t="s">
        <v>17</v>
      </c>
      <c r="G41" s="6" t="s">
        <v>33</v>
      </c>
      <c r="H41" s="7">
        <v>44962.0</v>
      </c>
      <c r="I41" s="8">
        <v>358.0</v>
      </c>
      <c r="J41" s="8">
        <v>212.11</v>
      </c>
      <c r="K41" s="8">
        <v>359.51</v>
      </c>
      <c r="L41" s="3">
        <f t="shared" si="1"/>
        <v>-52769.2</v>
      </c>
    </row>
    <row r="42">
      <c r="B42" s="6" t="s">
        <v>78</v>
      </c>
      <c r="C42" s="6" t="s">
        <v>20</v>
      </c>
      <c r="D42" s="6" t="s">
        <v>39</v>
      </c>
      <c r="E42" s="6" t="s">
        <v>22</v>
      </c>
      <c r="F42" s="6" t="s">
        <v>17</v>
      </c>
      <c r="G42" s="6" t="s">
        <v>18</v>
      </c>
      <c r="H42" s="7">
        <v>44963.0</v>
      </c>
      <c r="I42" s="8">
        <v>124.0</v>
      </c>
      <c r="J42" s="6"/>
      <c r="K42" s="8">
        <v>332.07</v>
      </c>
      <c r="L42" s="3">
        <f t="shared" si="1"/>
        <v>-41176.68</v>
      </c>
    </row>
    <row r="43">
      <c r="B43" s="6" t="s">
        <v>79</v>
      </c>
      <c r="C43" s="6" t="s">
        <v>26</v>
      </c>
      <c r="D43" s="6" t="s">
        <v>21</v>
      </c>
      <c r="E43" s="6" t="s">
        <v>27</v>
      </c>
      <c r="F43" s="6" t="s">
        <v>17</v>
      </c>
      <c r="G43" s="6" t="s">
        <v>33</v>
      </c>
      <c r="H43" s="7">
        <v>44964.0</v>
      </c>
      <c r="I43" s="8">
        <v>195.0</v>
      </c>
      <c r="J43" s="8">
        <v>421.02</v>
      </c>
      <c r="K43" s="8">
        <v>128.38</v>
      </c>
      <c r="L43" s="3">
        <f t="shared" si="1"/>
        <v>57064.8</v>
      </c>
    </row>
    <row r="44">
      <c r="B44" s="6" t="s">
        <v>80</v>
      </c>
      <c r="C44" s="6" t="s">
        <v>26</v>
      </c>
      <c r="D44" s="6" t="s">
        <v>39</v>
      </c>
      <c r="E44" s="6" t="s">
        <v>27</v>
      </c>
      <c r="F44" s="6" t="s">
        <v>17</v>
      </c>
      <c r="G44" s="6" t="s">
        <v>18</v>
      </c>
      <c r="H44" s="7">
        <v>44965.0</v>
      </c>
      <c r="I44" s="6"/>
      <c r="J44" s="8">
        <v>91.23</v>
      </c>
      <c r="K44" s="8">
        <v>381.21</v>
      </c>
      <c r="L44" s="3">
        <f t="shared" si="1"/>
        <v>0</v>
      </c>
    </row>
    <row r="45">
      <c r="B45" s="6" t="s">
        <v>81</v>
      </c>
      <c r="C45" s="6" t="s">
        <v>14</v>
      </c>
      <c r="D45" s="6" t="s">
        <v>21</v>
      </c>
      <c r="E45" s="6" t="s">
        <v>22</v>
      </c>
      <c r="F45" s="6" t="s">
        <v>28</v>
      </c>
      <c r="G45" s="6" t="s">
        <v>18</v>
      </c>
      <c r="H45" s="7">
        <v>44966.0</v>
      </c>
      <c r="I45" s="8">
        <v>65.0</v>
      </c>
      <c r="J45" s="8">
        <v>480.59</v>
      </c>
      <c r="K45" s="8">
        <v>330.43</v>
      </c>
      <c r="L45" s="3">
        <f t="shared" si="1"/>
        <v>9760.4</v>
      </c>
    </row>
    <row r="46">
      <c r="B46" s="6" t="s">
        <v>82</v>
      </c>
      <c r="C46" s="6" t="s">
        <v>14</v>
      </c>
      <c r="D46" s="6" t="s">
        <v>63</v>
      </c>
      <c r="E46" s="6" t="s">
        <v>55</v>
      </c>
      <c r="F46" s="6" t="s">
        <v>28</v>
      </c>
      <c r="G46" s="6" t="s">
        <v>23</v>
      </c>
      <c r="H46" s="7">
        <v>44967.0</v>
      </c>
      <c r="I46" s="8">
        <v>49.0</v>
      </c>
      <c r="J46" s="8">
        <v>210.87</v>
      </c>
      <c r="K46" s="8">
        <v>267.19</v>
      </c>
      <c r="L46" s="3">
        <f t="shared" si="1"/>
        <v>-2759.68</v>
      </c>
    </row>
    <row r="47">
      <c r="B47" s="6" t="s">
        <v>83</v>
      </c>
      <c r="C47" s="6" t="s">
        <v>14</v>
      </c>
      <c r="D47" s="6" t="s">
        <v>31</v>
      </c>
      <c r="E47" s="6" t="s">
        <v>32</v>
      </c>
      <c r="F47" s="6" t="s">
        <v>17</v>
      </c>
      <c r="G47" s="6" t="s">
        <v>18</v>
      </c>
      <c r="H47" s="7">
        <v>44968.0</v>
      </c>
      <c r="I47" s="8">
        <v>363.0</v>
      </c>
      <c r="J47" s="8">
        <v>423.89</v>
      </c>
      <c r="K47" s="8">
        <v>50.46</v>
      </c>
      <c r="L47" s="3">
        <f t="shared" si="1"/>
        <v>135555.09</v>
      </c>
    </row>
    <row r="48">
      <c r="B48" s="6" t="s">
        <v>84</v>
      </c>
      <c r="C48" s="6" t="s">
        <v>61</v>
      </c>
      <c r="D48" s="6" t="s">
        <v>31</v>
      </c>
      <c r="E48" s="6" t="s">
        <v>55</v>
      </c>
      <c r="F48" s="6" t="s">
        <v>28</v>
      </c>
      <c r="G48" s="6" t="s">
        <v>33</v>
      </c>
      <c r="H48" s="7">
        <v>44969.0</v>
      </c>
      <c r="I48" s="8">
        <v>49.0</v>
      </c>
      <c r="J48" s="8">
        <v>316.24</v>
      </c>
      <c r="K48" s="8">
        <v>192.34</v>
      </c>
      <c r="L48" s="3">
        <f t="shared" si="1"/>
        <v>6071.1</v>
      </c>
    </row>
    <row r="49">
      <c r="B49" s="6" t="s">
        <v>85</v>
      </c>
      <c r="C49" s="6" t="s">
        <v>20</v>
      </c>
      <c r="D49" s="6" t="s">
        <v>31</v>
      </c>
      <c r="E49" s="6" t="s">
        <v>55</v>
      </c>
      <c r="F49" s="6" t="s">
        <v>28</v>
      </c>
      <c r="G49" s="6" t="s">
        <v>33</v>
      </c>
      <c r="H49" s="7">
        <v>44970.0</v>
      </c>
      <c r="I49" s="8">
        <v>356.0</v>
      </c>
      <c r="J49" s="8">
        <v>369.0</v>
      </c>
      <c r="K49" s="8">
        <v>203.43</v>
      </c>
      <c r="L49" s="3">
        <f t="shared" si="1"/>
        <v>58942.92</v>
      </c>
    </row>
    <row r="50">
      <c r="B50" s="6" t="s">
        <v>86</v>
      </c>
      <c r="C50" s="6" t="s">
        <v>20</v>
      </c>
      <c r="D50" s="6" t="s">
        <v>39</v>
      </c>
      <c r="E50" s="6" t="s">
        <v>55</v>
      </c>
      <c r="F50" s="6" t="s">
        <v>17</v>
      </c>
      <c r="G50" s="6" t="s">
        <v>23</v>
      </c>
      <c r="H50" s="7">
        <v>44971.0</v>
      </c>
      <c r="I50" s="8">
        <v>470.0</v>
      </c>
      <c r="J50" s="6"/>
      <c r="K50" s="8">
        <v>94.56</v>
      </c>
      <c r="L50" s="3">
        <f t="shared" si="1"/>
        <v>-44443.2</v>
      </c>
    </row>
    <row r="51">
      <c r="B51" s="6" t="s">
        <v>87</v>
      </c>
      <c r="C51" s="6" t="s">
        <v>20</v>
      </c>
      <c r="D51" s="6" t="s">
        <v>63</v>
      </c>
      <c r="E51" s="6" t="s">
        <v>16</v>
      </c>
      <c r="F51" s="6" t="s">
        <v>17</v>
      </c>
      <c r="G51" s="6" t="s">
        <v>33</v>
      </c>
      <c r="H51" s="7">
        <v>44972.0</v>
      </c>
      <c r="I51" s="8">
        <v>246.0</v>
      </c>
      <c r="J51" s="8">
        <v>254.9</v>
      </c>
      <c r="K51" s="8">
        <v>33.83</v>
      </c>
      <c r="L51" s="3">
        <f t="shared" si="1"/>
        <v>54383.22</v>
      </c>
    </row>
    <row r="52">
      <c r="B52" s="6" t="s">
        <v>88</v>
      </c>
      <c r="C52" s="6" t="s">
        <v>20</v>
      </c>
      <c r="D52" s="6" t="s">
        <v>21</v>
      </c>
      <c r="E52" s="6" t="s">
        <v>27</v>
      </c>
      <c r="F52" s="6" t="s">
        <v>17</v>
      </c>
      <c r="G52" s="6" t="s">
        <v>33</v>
      </c>
      <c r="H52" s="7">
        <v>44973.0</v>
      </c>
      <c r="I52" s="8">
        <v>298.0</v>
      </c>
      <c r="J52" s="8">
        <v>273.93</v>
      </c>
      <c r="K52" s="8">
        <v>311.14</v>
      </c>
      <c r="L52" s="3">
        <f t="shared" si="1"/>
        <v>-11088.58</v>
      </c>
    </row>
    <row r="53">
      <c r="B53" s="6" t="s">
        <v>89</v>
      </c>
      <c r="C53" s="6" t="s">
        <v>14</v>
      </c>
      <c r="D53" s="6" t="s">
        <v>15</v>
      </c>
      <c r="E53" s="6" t="s">
        <v>55</v>
      </c>
      <c r="F53" s="6" t="s">
        <v>28</v>
      </c>
      <c r="G53" s="6" t="s">
        <v>33</v>
      </c>
      <c r="H53" s="7">
        <v>44974.0</v>
      </c>
      <c r="I53" s="8">
        <v>271.0</v>
      </c>
      <c r="J53" s="8">
        <v>259.43</v>
      </c>
      <c r="K53" s="8">
        <v>50.57</v>
      </c>
      <c r="L53" s="3">
        <f t="shared" si="1"/>
        <v>56601.06</v>
      </c>
    </row>
    <row r="54">
      <c r="B54" s="6" t="s">
        <v>90</v>
      </c>
      <c r="C54" s="6" t="s">
        <v>61</v>
      </c>
      <c r="D54" s="6" t="s">
        <v>21</v>
      </c>
      <c r="E54" s="6" t="s">
        <v>27</v>
      </c>
      <c r="F54" s="6" t="s">
        <v>28</v>
      </c>
      <c r="G54" s="6" t="s">
        <v>18</v>
      </c>
      <c r="H54" s="7">
        <v>44975.0</v>
      </c>
      <c r="I54" s="8">
        <v>225.0</v>
      </c>
      <c r="J54" s="8">
        <v>296.09</v>
      </c>
      <c r="K54" s="8">
        <v>238.53</v>
      </c>
      <c r="L54" s="3">
        <f t="shared" si="1"/>
        <v>12951</v>
      </c>
    </row>
    <row r="55">
      <c r="B55" s="6" t="s">
        <v>91</v>
      </c>
      <c r="C55" s="6"/>
      <c r="D55" s="6" t="s">
        <v>15</v>
      </c>
      <c r="E55" s="6" t="s">
        <v>22</v>
      </c>
      <c r="F55" s="6" t="s">
        <v>17</v>
      </c>
      <c r="G55" s="6" t="s">
        <v>18</v>
      </c>
      <c r="H55" s="7">
        <v>44976.0</v>
      </c>
      <c r="I55" s="8">
        <v>156.0</v>
      </c>
      <c r="J55" s="8">
        <v>19.55</v>
      </c>
      <c r="K55" s="8">
        <v>374.71</v>
      </c>
      <c r="L55" s="3">
        <f t="shared" si="1"/>
        <v>-55404.96</v>
      </c>
    </row>
    <row r="56">
      <c r="B56" s="6" t="s">
        <v>92</v>
      </c>
      <c r="C56" s="6" t="s">
        <v>14</v>
      </c>
      <c r="D56" s="6" t="s">
        <v>21</v>
      </c>
      <c r="E56" s="6" t="s">
        <v>32</v>
      </c>
      <c r="F56" s="6" t="s">
        <v>17</v>
      </c>
      <c r="G56" s="6" t="s">
        <v>33</v>
      </c>
      <c r="H56" s="7">
        <v>44977.0</v>
      </c>
      <c r="I56" s="8">
        <v>345.0</v>
      </c>
      <c r="J56" s="8">
        <v>200.78</v>
      </c>
      <c r="K56" s="8">
        <v>350.69</v>
      </c>
      <c r="L56" s="3">
        <f t="shared" si="1"/>
        <v>-51718.95</v>
      </c>
    </row>
    <row r="57">
      <c r="B57" s="6" t="s">
        <v>93</v>
      </c>
      <c r="C57" s="6" t="s">
        <v>61</v>
      </c>
      <c r="D57" s="6" t="s">
        <v>63</v>
      </c>
      <c r="E57" s="6" t="s">
        <v>22</v>
      </c>
      <c r="F57" s="6" t="s">
        <v>17</v>
      </c>
      <c r="G57" s="6" t="s">
        <v>23</v>
      </c>
      <c r="H57" s="7">
        <v>44978.0</v>
      </c>
      <c r="I57" s="8">
        <v>177.0</v>
      </c>
      <c r="J57" s="8">
        <v>305.06</v>
      </c>
      <c r="K57" s="8">
        <v>112.55</v>
      </c>
      <c r="L57" s="3">
        <f t="shared" si="1"/>
        <v>34074.27</v>
      </c>
    </row>
    <row r="58">
      <c r="B58" s="6" t="s">
        <v>94</v>
      </c>
      <c r="C58" s="6" t="s">
        <v>14</v>
      </c>
      <c r="D58" s="6" t="s">
        <v>15</v>
      </c>
      <c r="E58" s="6" t="s">
        <v>22</v>
      </c>
      <c r="F58" s="6" t="s">
        <v>28</v>
      </c>
      <c r="G58" s="6" t="s">
        <v>18</v>
      </c>
      <c r="H58" s="7">
        <v>44979.0</v>
      </c>
      <c r="I58" s="8">
        <v>101.0</v>
      </c>
      <c r="J58" s="8">
        <v>300.87</v>
      </c>
      <c r="K58" s="8">
        <v>340.88</v>
      </c>
      <c r="L58" s="3">
        <f t="shared" si="1"/>
        <v>-4041.01</v>
      </c>
    </row>
    <row r="59">
      <c r="B59" s="6" t="s">
        <v>95</v>
      </c>
      <c r="C59" s="6" t="s">
        <v>20</v>
      </c>
      <c r="D59" s="6" t="s">
        <v>39</v>
      </c>
      <c r="E59" s="6" t="s">
        <v>16</v>
      </c>
      <c r="F59" s="6" t="s">
        <v>28</v>
      </c>
      <c r="G59" s="6" t="s">
        <v>23</v>
      </c>
      <c r="H59" s="7">
        <v>44980.0</v>
      </c>
      <c r="I59" s="8">
        <v>362.0</v>
      </c>
      <c r="J59" s="8">
        <v>397.51</v>
      </c>
      <c r="K59" s="8">
        <v>2.13</v>
      </c>
      <c r="L59" s="3">
        <f t="shared" si="1"/>
        <v>143127.56</v>
      </c>
    </row>
    <row r="60">
      <c r="B60" s="6" t="s">
        <v>96</v>
      </c>
      <c r="C60" s="6" t="s">
        <v>14</v>
      </c>
      <c r="D60" s="6" t="s">
        <v>21</v>
      </c>
      <c r="E60" s="6" t="s">
        <v>32</v>
      </c>
      <c r="F60" s="6" t="s">
        <v>28</v>
      </c>
      <c r="G60" s="6" t="s">
        <v>33</v>
      </c>
      <c r="H60" s="7">
        <v>44981.0</v>
      </c>
      <c r="I60" s="8">
        <v>68.0</v>
      </c>
      <c r="J60" s="8">
        <v>329.23</v>
      </c>
      <c r="K60" s="8">
        <v>9.04</v>
      </c>
      <c r="L60" s="3">
        <f t="shared" si="1"/>
        <v>21772.92</v>
      </c>
    </row>
    <row r="61">
      <c r="B61" s="6" t="s">
        <v>97</v>
      </c>
      <c r="C61" s="6" t="s">
        <v>20</v>
      </c>
      <c r="D61" s="6" t="s">
        <v>21</v>
      </c>
      <c r="E61" s="6" t="s">
        <v>22</v>
      </c>
      <c r="F61" s="6" t="s">
        <v>28</v>
      </c>
      <c r="G61" s="6" t="s">
        <v>33</v>
      </c>
      <c r="H61" s="7">
        <v>44982.0</v>
      </c>
      <c r="I61" s="8">
        <v>68.0</v>
      </c>
      <c r="J61" s="8">
        <v>496.11</v>
      </c>
      <c r="K61" s="8">
        <v>241.82</v>
      </c>
      <c r="L61" s="3">
        <f t="shared" si="1"/>
        <v>17291.72</v>
      </c>
    </row>
    <row r="62">
      <c r="B62" s="6" t="s">
        <v>98</v>
      </c>
      <c r="C62" s="6" t="s">
        <v>20</v>
      </c>
      <c r="D62" s="6" t="s">
        <v>15</v>
      </c>
      <c r="E62" s="6" t="s">
        <v>22</v>
      </c>
      <c r="F62" s="6" t="s">
        <v>17</v>
      </c>
      <c r="G62" s="6" t="s">
        <v>18</v>
      </c>
      <c r="H62" s="7">
        <v>44983.0</v>
      </c>
      <c r="I62" s="8">
        <v>313.0</v>
      </c>
      <c r="J62" s="8">
        <v>145.51</v>
      </c>
      <c r="K62" s="8">
        <v>147.19</v>
      </c>
      <c r="L62" s="3">
        <f t="shared" si="1"/>
        <v>-525.84</v>
      </c>
    </row>
    <row r="63">
      <c r="B63" s="6" t="s">
        <v>99</v>
      </c>
      <c r="C63" s="6" t="s">
        <v>26</v>
      </c>
      <c r="D63" s="6" t="s">
        <v>39</v>
      </c>
      <c r="E63" s="6" t="s">
        <v>32</v>
      </c>
      <c r="F63" s="6" t="s">
        <v>17</v>
      </c>
      <c r="G63" s="6" t="s">
        <v>33</v>
      </c>
      <c r="H63" s="7">
        <v>44984.0</v>
      </c>
      <c r="I63" s="8">
        <v>178.0</v>
      </c>
      <c r="J63" s="8">
        <v>182.78</v>
      </c>
      <c r="K63" s="8">
        <v>155.81</v>
      </c>
      <c r="L63" s="3">
        <f t="shared" si="1"/>
        <v>4800.66</v>
      </c>
    </row>
    <row r="64">
      <c r="B64" s="6" t="s">
        <v>100</v>
      </c>
      <c r="C64" s="6" t="s">
        <v>14</v>
      </c>
      <c r="D64" s="6" t="s">
        <v>39</v>
      </c>
      <c r="E64" s="6" t="s">
        <v>32</v>
      </c>
      <c r="F64" s="6" t="s">
        <v>17</v>
      </c>
      <c r="G64" s="6" t="s">
        <v>18</v>
      </c>
      <c r="H64" s="7">
        <v>44985.0</v>
      </c>
      <c r="I64" s="8">
        <v>278.0</v>
      </c>
      <c r="J64" s="8">
        <v>195.0</v>
      </c>
      <c r="K64" s="8">
        <v>226.65</v>
      </c>
      <c r="L64" s="3">
        <f t="shared" si="1"/>
        <v>-8798.7</v>
      </c>
    </row>
    <row r="65">
      <c r="B65" s="6" t="s">
        <v>101</v>
      </c>
      <c r="C65" s="6" t="s">
        <v>26</v>
      </c>
      <c r="D65" s="6" t="s">
        <v>63</v>
      </c>
      <c r="E65" s="6" t="s">
        <v>22</v>
      </c>
      <c r="F65" s="6" t="s">
        <v>17</v>
      </c>
      <c r="G65" s="6" t="s">
        <v>33</v>
      </c>
      <c r="H65" s="7">
        <v>44986.0</v>
      </c>
      <c r="I65" s="8">
        <v>372.0</v>
      </c>
      <c r="J65" s="8">
        <v>235.58</v>
      </c>
      <c r="K65" s="8">
        <v>78.33</v>
      </c>
      <c r="L65" s="3">
        <f t="shared" si="1"/>
        <v>58497</v>
      </c>
    </row>
    <row r="66">
      <c r="B66" s="6" t="s">
        <v>102</v>
      </c>
      <c r="C66" s="6" t="s">
        <v>14</v>
      </c>
      <c r="D66" s="6" t="s">
        <v>39</v>
      </c>
      <c r="E66" s="6" t="s">
        <v>32</v>
      </c>
      <c r="F66" s="6" t="s">
        <v>28</v>
      </c>
      <c r="G66" s="6" t="s">
        <v>33</v>
      </c>
      <c r="H66" s="7">
        <v>44987.0</v>
      </c>
      <c r="I66" s="8">
        <v>54.0</v>
      </c>
      <c r="J66" s="8">
        <v>418.82</v>
      </c>
      <c r="K66" s="8">
        <v>86.28</v>
      </c>
      <c r="L66" s="3">
        <f t="shared" si="1"/>
        <v>17957.16</v>
      </c>
    </row>
    <row r="67">
      <c r="B67" s="6" t="s">
        <v>103</v>
      </c>
      <c r="C67" s="6" t="s">
        <v>14</v>
      </c>
      <c r="D67" s="6" t="s">
        <v>39</v>
      </c>
      <c r="E67" s="6" t="s">
        <v>22</v>
      </c>
      <c r="F67" s="6" t="s">
        <v>28</v>
      </c>
      <c r="G67" s="6" t="s">
        <v>18</v>
      </c>
      <c r="H67" s="7">
        <v>44988.0</v>
      </c>
      <c r="I67" s="8">
        <v>354.0</v>
      </c>
      <c r="J67" s="8">
        <v>121.72</v>
      </c>
      <c r="K67" s="8">
        <v>194.87</v>
      </c>
      <c r="L67" s="3">
        <f t="shared" si="1"/>
        <v>-25895.1</v>
      </c>
    </row>
    <row r="68">
      <c r="B68" s="6" t="s">
        <v>104</v>
      </c>
      <c r="C68" s="6" t="s">
        <v>26</v>
      </c>
      <c r="D68" s="6" t="s">
        <v>39</v>
      </c>
      <c r="E68" s="6" t="s">
        <v>22</v>
      </c>
      <c r="F68" s="6" t="s">
        <v>17</v>
      </c>
      <c r="G68" s="6" t="s">
        <v>18</v>
      </c>
      <c r="H68" s="7">
        <v>44989.0</v>
      </c>
      <c r="I68" s="8">
        <v>190.0</v>
      </c>
      <c r="J68" s="8">
        <v>389.12</v>
      </c>
      <c r="K68" s="8">
        <v>302.19</v>
      </c>
      <c r="L68" s="3">
        <f t="shared" si="1"/>
        <v>16516.7</v>
      </c>
    </row>
    <row r="69">
      <c r="B69" s="6" t="s">
        <v>105</v>
      </c>
      <c r="C69" s="6"/>
      <c r="D69" s="6" t="s">
        <v>31</v>
      </c>
      <c r="E69" s="6" t="s">
        <v>16</v>
      </c>
      <c r="F69" s="6" t="s">
        <v>17</v>
      </c>
      <c r="G69" s="6" t="s">
        <v>18</v>
      </c>
      <c r="H69" s="7">
        <v>44990.0</v>
      </c>
      <c r="I69" s="8">
        <v>179.0</v>
      </c>
      <c r="J69" s="8">
        <v>205.63</v>
      </c>
      <c r="K69" s="8">
        <v>248.56</v>
      </c>
      <c r="L69" s="3">
        <f t="shared" si="1"/>
        <v>-7684.47</v>
      </c>
    </row>
    <row r="70">
      <c r="B70" s="6" t="s">
        <v>106</v>
      </c>
      <c r="C70" s="6" t="s">
        <v>14</v>
      </c>
      <c r="D70" s="6" t="s">
        <v>63</v>
      </c>
      <c r="E70" s="6" t="s">
        <v>55</v>
      </c>
      <c r="F70" s="6" t="s">
        <v>28</v>
      </c>
      <c r="G70" s="6" t="s">
        <v>33</v>
      </c>
      <c r="H70" s="7">
        <v>44991.0</v>
      </c>
      <c r="I70" s="8">
        <v>365.0</v>
      </c>
      <c r="J70" s="8">
        <v>302.92</v>
      </c>
      <c r="K70" s="8">
        <v>120.35</v>
      </c>
      <c r="L70" s="3">
        <f t="shared" si="1"/>
        <v>66638.05</v>
      </c>
    </row>
    <row r="71">
      <c r="B71" s="6" t="s">
        <v>107</v>
      </c>
      <c r="C71" s="6" t="s">
        <v>61</v>
      </c>
      <c r="D71" s="6" t="s">
        <v>21</v>
      </c>
      <c r="E71" s="6" t="s">
        <v>22</v>
      </c>
      <c r="F71" s="6" t="s">
        <v>17</v>
      </c>
      <c r="G71" s="6" t="s">
        <v>33</v>
      </c>
      <c r="H71" s="7">
        <v>44992.0</v>
      </c>
      <c r="I71" s="8">
        <v>200.0</v>
      </c>
      <c r="J71" s="8">
        <v>318.11</v>
      </c>
      <c r="K71" s="8">
        <v>173.27</v>
      </c>
      <c r="L71" s="3">
        <f t="shared" si="1"/>
        <v>28968</v>
      </c>
    </row>
    <row r="72">
      <c r="B72" s="6" t="s">
        <v>108</v>
      </c>
      <c r="C72" s="6" t="s">
        <v>20</v>
      </c>
      <c r="D72" s="6" t="s">
        <v>15</v>
      </c>
      <c r="E72" s="6" t="s">
        <v>27</v>
      </c>
      <c r="F72" s="6" t="s">
        <v>28</v>
      </c>
      <c r="G72" s="6" t="s">
        <v>23</v>
      </c>
      <c r="H72" s="7">
        <v>44993.0</v>
      </c>
      <c r="I72" s="8">
        <v>164.0</v>
      </c>
      <c r="J72" s="8">
        <v>189.56</v>
      </c>
      <c r="K72" s="8">
        <v>69.92</v>
      </c>
      <c r="L72" s="3">
        <f t="shared" si="1"/>
        <v>19620.96</v>
      </c>
    </row>
    <row r="73">
      <c r="B73" s="6" t="s">
        <v>109</v>
      </c>
      <c r="C73" s="6" t="s">
        <v>26</v>
      </c>
      <c r="D73" s="6" t="s">
        <v>21</v>
      </c>
      <c r="E73" s="6" t="s">
        <v>55</v>
      </c>
      <c r="F73" s="6" t="s">
        <v>17</v>
      </c>
      <c r="G73" s="6" t="s">
        <v>18</v>
      </c>
      <c r="H73" s="7">
        <v>44994.0</v>
      </c>
      <c r="I73" s="8">
        <v>431.0</v>
      </c>
      <c r="J73" s="8">
        <v>258.74</v>
      </c>
      <c r="K73" s="8">
        <v>31.7</v>
      </c>
      <c r="L73" s="3">
        <f t="shared" si="1"/>
        <v>97854.24</v>
      </c>
    </row>
    <row r="74">
      <c r="B74" s="6" t="s">
        <v>110</v>
      </c>
      <c r="C74" s="6" t="s">
        <v>20</v>
      </c>
      <c r="D74" s="6" t="s">
        <v>63</v>
      </c>
      <c r="E74" s="6" t="s">
        <v>55</v>
      </c>
      <c r="F74" s="6" t="s">
        <v>17</v>
      </c>
      <c r="G74" s="6" t="s">
        <v>33</v>
      </c>
      <c r="H74" s="7">
        <v>44995.0</v>
      </c>
      <c r="I74" s="8">
        <v>197.0</v>
      </c>
      <c r="J74" s="8">
        <v>209.45</v>
      </c>
      <c r="K74" s="8">
        <v>313.51</v>
      </c>
      <c r="L74" s="3">
        <f t="shared" si="1"/>
        <v>-20499.82</v>
      </c>
    </row>
    <row r="75">
      <c r="B75" s="6" t="s">
        <v>111</v>
      </c>
      <c r="C75" s="6" t="s">
        <v>61</v>
      </c>
      <c r="D75" s="6" t="s">
        <v>15</v>
      </c>
      <c r="E75" s="6" t="s">
        <v>55</v>
      </c>
      <c r="F75" s="6" t="s">
        <v>17</v>
      </c>
      <c r="G75" s="6" t="s">
        <v>33</v>
      </c>
      <c r="H75" s="7">
        <v>44996.0</v>
      </c>
      <c r="I75" s="8">
        <v>16.0</v>
      </c>
      <c r="J75" s="8">
        <v>39.22</v>
      </c>
      <c r="K75" s="8">
        <v>107.62</v>
      </c>
      <c r="L75" s="3">
        <f t="shared" si="1"/>
        <v>-1094.4</v>
      </c>
    </row>
    <row r="76">
      <c r="B76" s="6" t="s">
        <v>112</v>
      </c>
      <c r="C76" s="6" t="s">
        <v>61</v>
      </c>
      <c r="D76" s="6" t="s">
        <v>63</v>
      </c>
      <c r="E76" s="6" t="s">
        <v>16</v>
      </c>
      <c r="F76" s="6" t="s">
        <v>17</v>
      </c>
      <c r="G76" s="6" t="s">
        <v>18</v>
      </c>
      <c r="H76" s="7">
        <v>44997.0</v>
      </c>
      <c r="I76" s="8">
        <v>142.0</v>
      </c>
      <c r="J76" s="8">
        <v>221.4</v>
      </c>
      <c r="K76" s="8">
        <v>72.75</v>
      </c>
      <c r="L76" s="3">
        <f t="shared" si="1"/>
        <v>21108.3</v>
      </c>
    </row>
    <row r="77">
      <c r="B77" s="6" t="s">
        <v>113</v>
      </c>
      <c r="C77" s="6" t="s">
        <v>61</v>
      </c>
      <c r="D77" s="6" t="s">
        <v>39</v>
      </c>
      <c r="E77" s="6" t="s">
        <v>22</v>
      </c>
      <c r="F77" s="6" t="s">
        <v>17</v>
      </c>
      <c r="G77" s="6" t="s">
        <v>23</v>
      </c>
      <c r="H77" s="7">
        <v>44998.0</v>
      </c>
      <c r="I77" s="8">
        <v>244.0</v>
      </c>
      <c r="J77" s="8">
        <v>53.21</v>
      </c>
      <c r="K77" s="8">
        <v>277.26</v>
      </c>
      <c r="L77" s="3">
        <f t="shared" si="1"/>
        <v>-54668.2</v>
      </c>
    </row>
    <row r="78">
      <c r="B78" s="6" t="s">
        <v>114</v>
      </c>
      <c r="C78" s="6" t="s">
        <v>26</v>
      </c>
      <c r="D78" s="6" t="s">
        <v>15</v>
      </c>
      <c r="E78" s="6" t="s">
        <v>16</v>
      </c>
      <c r="F78" s="6" t="s">
        <v>17</v>
      </c>
      <c r="G78" s="6" t="s">
        <v>18</v>
      </c>
      <c r="H78" s="7">
        <v>44999.0</v>
      </c>
      <c r="I78" s="8">
        <v>54.0</v>
      </c>
      <c r="J78" s="8">
        <v>205.49</v>
      </c>
      <c r="K78" s="8">
        <v>247.98</v>
      </c>
      <c r="L78" s="3">
        <f t="shared" si="1"/>
        <v>-2294.46</v>
      </c>
    </row>
    <row r="79">
      <c r="B79" s="6" t="s">
        <v>115</v>
      </c>
      <c r="C79" s="6" t="s">
        <v>61</v>
      </c>
      <c r="D79" s="6" t="s">
        <v>39</v>
      </c>
      <c r="E79" s="6" t="s">
        <v>22</v>
      </c>
      <c r="F79" s="6" t="s">
        <v>17</v>
      </c>
      <c r="G79" s="6" t="s">
        <v>23</v>
      </c>
      <c r="H79" s="7">
        <v>45000.0</v>
      </c>
      <c r="I79" s="8">
        <v>323.0</v>
      </c>
      <c r="J79" s="8">
        <v>298.49</v>
      </c>
      <c r="K79" s="8">
        <v>254.01</v>
      </c>
      <c r="L79" s="3">
        <f t="shared" si="1"/>
        <v>14367.04</v>
      </c>
    </row>
    <row r="80">
      <c r="B80" s="6" t="s">
        <v>116</v>
      </c>
      <c r="C80" s="6" t="s">
        <v>26</v>
      </c>
      <c r="D80" s="6" t="s">
        <v>21</v>
      </c>
      <c r="E80" s="6" t="s">
        <v>16</v>
      </c>
      <c r="F80" s="6" t="s">
        <v>28</v>
      </c>
      <c r="G80" s="6" t="s">
        <v>33</v>
      </c>
      <c r="H80" s="7">
        <v>45001.0</v>
      </c>
      <c r="I80" s="8">
        <v>258.0</v>
      </c>
      <c r="J80" s="8">
        <v>291.81</v>
      </c>
      <c r="K80" s="8">
        <v>93.1</v>
      </c>
      <c r="L80" s="3">
        <f t="shared" si="1"/>
        <v>51267.18</v>
      </c>
    </row>
    <row r="81">
      <c r="B81" s="6" t="s">
        <v>117</v>
      </c>
      <c r="C81" s="6" t="s">
        <v>61</v>
      </c>
      <c r="D81" s="6" t="s">
        <v>21</v>
      </c>
      <c r="E81" s="6" t="s">
        <v>16</v>
      </c>
      <c r="F81" s="6" t="s">
        <v>28</v>
      </c>
      <c r="G81" s="6" t="s">
        <v>23</v>
      </c>
      <c r="H81" s="7">
        <v>45002.0</v>
      </c>
      <c r="I81" s="8">
        <v>40.0</v>
      </c>
      <c r="J81" s="8">
        <v>333.0</v>
      </c>
      <c r="K81" s="8">
        <v>94.59</v>
      </c>
      <c r="L81" s="3">
        <f t="shared" si="1"/>
        <v>9536.4</v>
      </c>
    </row>
    <row r="82">
      <c r="B82" s="6" t="s">
        <v>118</v>
      </c>
      <c r="C82" s="6" t="s">
        <v>20</v>
      </c>
      <c r="D82" s="6" t="s">
        <v>15</v>
      </c>
      <c r="E82" s="6" t="s">
        <v>27</v>
      </c>
      <c r="F82" s="6" t="s">
        <v>28</v>
      </c>
      <c r="G82" s="6" t="s">
        <v>33</v>
      </c>
      <c r="H82" s="7">
        <v>45003.0</v>
      </c>
      <c r="I82" s="8">
        <v>32.0</v>
      </c>
      <c r="J82" s="8">
        <v>52.15</v>
      </c>
      <c r="K82" s="8">
        <v>89.88</v>
      </c>
      <c r="L82" s="3">
        <f t="shared" si="1"/>
        <v>-1207.36</v>
      </c>
    </row>
    <row r="83">
      <c r="B83" s="6" t="s">
        <v>119</v>
      </c>
      <c r="C83" s="6" t="s">
        <v>20</v>
      </c>
      <c r="D83" s="6" t="s">
        <v>15</v>
      </c>
      <c r="E83" s="6" t="s">
        <v>16</v>
      </c>
      <c r="F83" s="6" t="s">
        <v>28</v>
      </c>
      <c r="G83" s="6" t="s">
        <v>18</v>
      </c>
      <c r="H83" s="7">
        <v>45004.0</v>
      </c>
      <c r="I83" s="8">
        <v>435.0</v>
      </c>
      <c r="J83" s="8">
        <v>327.8</v>
      </c>
      <c r="K83" s="8">
        <v>71.15</v>
      </c>
      <c r="L83" s="3">
        <f t="shared" si="1"/>
        <v>111642.75</v>
      </c>
    </row>
    <row r="84">
      <c r="B84" s="6" t="s">
        <v>120</v>
      </c>
      <c r="C84" s="6" t="s">
        <v>14</v>
      </c>
      <c r="D84" s="6" t="s">
        <v>63</v>
      </c>
      <c r="E84" s="6" t="s">
        <v>32</v>
      </c>
      <c r="F84" s="6" t="s">
        <v>28</v>
      </c>
      <c r="G84" s="6" t="s">
        <v>18</v>
      </c>
      <c r="H84" s="7">
        <v>45005.0</v>
      </c>
      <c r="I84" s="8">
        <v>403.0</v>
      </c>
      <c r="J84" s="8">
        <v>159.51</v>
      </c>
      <c r="K84" s="8">
        <v>262.98</v>
      </c>
      <c r="L84" s="3">
        <f t="shared" si="1"/>
        <v>-41698.41</v>
      </c>
    </row>
    <row r="85">
      <c r="B85" s="6" t="s">
        <v>121</v>
      </c>
      <c r="C85" s="6" t="s">
        <v>20</v>
      </c>
      <c r="D85" s="6" t="s">
        <v>63</v>
      </c>
      <c r="E85" s="6" t="s">
        <v>27</v>
      </c>
      <c r="F85" s="6" t="s">
        <v>17</v>
      </c>
      <c r="G85" s="6" t="s">
        <v>18</v>
      </c>
      <c r="H85" s="7">
        <v>45006.0</v>
      </c>
      <c r="I85" s="8">
        <v>169.0</v>
      </c>
      <c r="J85" s="6"/>
      <c r="K85" s="8">
        <v>339.51</v>
      </c>
      <c r="L85" s="3">
        <f t="shared" si="1"/>
        <v>-57377.19</v>
      </c>
    </row>
    <row r="86">
      <c r="B86" s="6" t="s">
        <v>122</v>
      </c>
      <c r="C86" s="6" t="s">
        <v>14</v>
      </c>
      <c r="D86" s="6" t="s">
        <v>39</v>
      </c>
      <c r="E86" s="6" t="s">
        <v>16</v>
      </c>
      <c r="F86" s="6" t="s">
        <v>17</v>
      </c>
      <c r="G86" s="6" t="s">
        <v>23</v>
      </c>
      <c r="H86" s="7">
        <v>45007.0</v>
      </c>
      <c r="I86" s="8">
        <v>372.0</v>
      </c>
      <c r="J86" s="8">
        <v>429.7</v>
      </c>
      <c r="K86" s="8">
        <v>290.28</v>
      </c>
      <c r="L86" s="3">
        <f t="shared" si="1"/>
        <v>51864.24</v>
      </c>
    </row>
    <row r="87">
      <c r="B87" s="6" t="s">
        <v>123</v>
      </c>
      <c r="C87" s="6" t="s">
        <v>20</v>
      </c>
      <c r="D87" s="6" t="s">
        <v>15</v>
      </c>
      <c r="E87" s="6" t="s">
        <v>55</v>
      </c>
      <c r="F87" s="6" t="s">
        <v>28</v>
      </c>
      <c r="G87" s="6" t="s">
        <v>33</v>
      </c>
      <c r="H87" s="7">
        <v>45008.0</v>
      </c>
      <c r="I87" s="8">
        <v>446.0</v>
      </c>
      <c r="J87" s="8">
        <v>9.47</v>
      </c>
      <c r="K87" s="8">
        <v>317.25</v>
      </c>
      <c r="L87" s="3">
        <f t="shared" si="1"/>
        <v>-137269.88</v>
      </c>
    </row>
    <row r="88">
      <c r="B88" s="6" t="s">
        <v>124</v>
      </c>
      <c r="C88" s="6" t="s">
        <v>26</v>
      </c>
      <c r="D88" s="6" t="s">
        <v>21</v>
      </c>
      <c r="E88" s="6" t="s">
        <v>32</v>
      </c>
      <c r="F88" s="6" t="s">
        <v>17</v>
      </c>
      <c r="G88" s="6" t="s">
        <v>18</v>
      </c>
      <c r="H88" s="7">
        <v>45009.0</v>
      </c>
      <c r="I88" s="8">
        <v>167.0</v>
      </c>
      <c r="J88" s="8">
        <v>296.26</v>
      </c>
      <c r="K88" s="8">
        <v>163.11</v>
      </c>
      <c r="L88" s="3">
        <f t="shared" si="1"/>
        <v>22236.05</v>
      </c>
    </row>
    <row r="89">
      <c r="B89" s="6" t="s">
        <v>125</v>
      </c>
      <c r="C89" s="6" t="s">
        <v>20</v>
      </c>
      <c r="D89" s="6" t="s">
        <v>63</v>
      </c>
      <c r="E89" s="6" t="s">
        <v>32</v>
      </c>
      <c r="F89" s="6" t="s">
        <v>28</v>
      </c>
      <c r="G89" s="6" t="s">
        <v>18</v>
      </c>
      <c r="H89" s="7">
        <v>45010.0</v>
      </c>
      <c r="I89" s="8">
        <v>48.0</v>
      </c>
      <c r="J89" s="8">
        <v>301.36</v>
      </c>
      <c r="K89" s="8">
        <v>262.32</v>
      </c>
      <c r="L89" s="3">
        <f t="shared" si="1"/>
        <v>1873.92</v>
      </c>
    </row>
    <row r="90">
      <c r="B90" s="6" t="s">
        <v>126</v>
      </c>
      <c r="C90" s="6" t="s">
        <v>14</v>
      </c>
      <c r="D90" s="6" t="s">
        <v>63</v>
      </c>
      <c r="E90" s="6" t="s">
        <v>32</v>
      </c>
      <c r="F90" s="6" t="s">
        <v>28</v>
      </c>
      <c r="G90" s="6" t="s">
        <v>33</v>
      </c>
      <c r="H90" s="7">
        <v>45011.0</v>
      </c>
      <c r="I90" s="8">
        <v>424.0</v>
      </c>
      <c r="J90" s="8">
        <v>201.35</v>
      </c>
      <c r="K90" s="8">
        <v>142.99</v>
      </c>
      <c r="L90" s="3">
        <f t="shared" si="1"/>
        <v>24744.64</v>
      </c>
    </row>
    <row r="91">
      <c r="B91" s="6" t="s">
        <v>127</v>
      </c>
      <c r="C91" s="6" t="s">
        <v>14</v>
      </c>
      <c r="D91" s="6" t="s">
        <v>21</v>
      </c>
      <c r="E91" s="6" t="s">
        <v>27</v>
      </c>
      <c r="F91" s="6" t="s">
        <v>17</v>
      </c>
      <c r="G91" s="6" t="s">
        <v>18</v>
      </c>
      <c r="H91" s="7">
        <v>45012.0</v>
      </c>
      <c r="I91" s="8">
        <v>91.0</v>
      </c>
      <c r="J91" s="8">
        <v>122.33</v>
      </c>
      <c r="K91" s="8">
        <v>211.15</v>
      </c>
      <c r="L91" s="3">
        <f t="shared" si="1"/>
        <v>-8082.62</v>
      </c>
    </row>
    <row r="92">
      <c r="B92" s="6" t="s">
        <v>128</v>
      </c>
      <c r="C92" s="6" t="s">
        <v>61</v>
      </c>
      <c r="D92" s="6" t="s">
        <v>63</v>
      </c>
      <c r="E92" s="6" t="s">
        <v>16</v>
      </c>
      <c r="F92" s="6" t="s">
        <v>17</v>
      </c>
      <c r="G92" s="6" t="s">
        <v>33</v>
      </c>
      <c r="H92" s="7">
        <v>45013.0</v>
      </c>
      <c r="I92" s="8">
        <v>365.0</v>
      </c>
      <c r="J92" s="8">
        <v>121.16</v>
      </c>
      <c r="K92" s="8">
        <v>193.69</v>
      </c>
      <c r="L92" s="3">
        <f t="shared" si="1"/>
        <v>-26473.45</v>
      </c>
    </row>
    <row r="93">
      <c r="B93" s="6" t="s">
        <v>129</v>
      </c>
      <c r="C93" s="6" t="s">
        <v>26</v>
      </c>
      <c r="D93" s="6" t="s">
        <v>39</v>
      </c>
      <c r="E93" s="6" t="s">
        <v>16</v>
      </c>
      <c r="F93" s="6" t="s">
        <v>17</v>
      </c>
      <c r="G93" s="6" t="s">
        <v>33</v>
      </c>
      <c r="H93" s="7">
        <v>45014.0</v>
      </c>
      <c r="I93" s="8">
        <v>267.0</v>
      </c>
      <c r="J93" s="8">
        <v>442.44</v>
      </c>
      <c r="K93" s="8">
        <v>72.4</v>
      </c>
      <c r="L93" s="3">
        <f t="shared" si="1"/>
        <v>98800.68</v>
      </c>
    </row>
    <row r="94">
      <c r="B94" s="6" t="s">
        <v>130</v>
      </c>
      <c r="C94" s="6" t="s">
        <v>20</v>
      </c>
      <c r="D94" s="6" t="s">
        <v>15</v>
      </c>
      <c r="E94" s="6" t="s">
        <v>55</v>
      </c>
      <c r="F94" s="6" t="s">
        <v>28</v>
      </c>
      <c r="G94" s="6" t="s">
        <v>33</v>
      </c>
      <c r="H94" s="7">
        <v>45015.0</v>
      </c>
      <c r="I94" s="8">
        <v>215.0</v>
      </c>
      <c r="J94" s="8">
        <v>223.8</v>
      </c>
      <c r="K94" s="8">
        <v>156.06</v>
      </c>
      <c r="L94" s="3">
        <f t="shared" si="1"/>
        <v>14564.1</v>
      </c>
    </row>
    <row r="95">
      <c r="B95" s="6" t="s">
        <v>131</v>
      </c>
      <c r="C95" s="6" t="s">
        <v>61</v>
      </c>
      <c r="D95" s="6" t="s">
        <v>21</v>
      </c>
      <c r="E95" s="6" t="s">
        <v>55</v>
      </c>
      <c r="F95" s="6" t="s">
        <v>17</v>
      </c>
      <c r="G95" s="6" t="s">
        <v>33</v>
      </c>
      <c r="H95" s="7">
        <v>45016.0</v>
      </c>
      <c r="I95" s="8">
        <v>86.0</v>
      </c>
      <c r="J95" s="8">
        <v>168.79</v>
      </c>
      <c r="K95" s="8">
        <v>385.6</v>
      </c>
      <c r="L95" s="3">
        <f t="shared" si="1"/>
        <v>-18645.66</v>
      </c>
    </row>
    <row r="96">
      <c r="B96" s="6" t="s">
        <v>132</v>
      </c>
      <c r="C96" s="6" t="s">
        <v>20</v>
      </c>
      <c r="D96" s="6" t="s">
        <v>15</v>
      </c>
      <c r="E96" s="6" t="s">
        <v>32</v>
      </c>
      <c r="F96" s="6" t="s">
        <v>28</v>
      </c>
      <c r="G96" s="6" t="s">
        <v>33</v>
      </c>
      <c r="H96" s="7">
        <v>45017.0</v>
      </c>
      <c r="I96" s="8">
        <v>486.0</v>
      </c>
      <c r="J96" s="8">
        <v>227.14</v>
      </c>
      <c r="K96" s="8">
        <v>100.93</v>
      </c>
      <c r="L96" s="3">
        <f t="shared" si="1"/>
        <v>61338.06</v>
      </c>
    </row>
    <row r="97">
      <c r="B97" s="6" t="s">
        <v>133</v>
      </c>
      <c r="C97" s="6" t="s">
        <v>20</v>
      </c>
      <c r="D97" s="6" t="s">
        <v>63</v>
      </c>
      <c r="E97" s="6" t="s">
        <v>55</v>
      </c>
      <c r="F97" s="6" t="s">
        <v>28</v>
      </c>
      <c r="G97" s="6" t="s">
        <v>23</v>
      </c>
      <c r="H97" s="7">
        <v>45018.0</v>
      </c>
      <c r="I97" s="8">
        <v>21.0</v>
      </c>
      <c r="J97" s="6"/>
      <c r="K97" s="8">
        <v>55.25</v>
      </c>
      <c r="L97" s="3">
        <f t="shared" si="1"/>
        <v>-1160.25</v>
      </c>
    </row>
    <row r="98">
      <c r="B98" s="6" t="s">
        <v>134</v>
      </c>
      <c r="C98" s="6" t="s">
        <v>61</v>
      </c>
      <c r="D98" s="6" t="s">
        <v>63</v>
      </c>
      <c r="E98" s="6" t="s">
        <v>27</v>
      </c>
      <c r="F98" s="6" t="s">
        <v>28</v>
      </c>
      <c r="G98" s="6" t="s">
        <v>18</v>
      </c>
      <c r="H98" s="7">
        <v>45019.0</v>
      </c>
      <c r="I98" s="8">
        <v>304.0</v>
      </c>
      <c r="J98" s="8">
        <v>77.15</v>
      </c>
      <c r="K98" s="8">
        <v>168.6</v>
      </c>
      <c r="L98" s="3">
        <f t="shared" si="1"/>
        <v>-27800.8</v>
      </c>
    </row>
    <row r="99">
      <c r="B99" s="6" t="s">
        <v>135</v>
      </c>
      <c r="C99" s="6" t="s">
        <v>61</v>
      </c>
      <c r="D99" s="6" t="s">
        <v>21</v>
      </c>
      <c r="E99" s="6" t="s">
        <v>16</v>
      </c>
      <c r="F99" s="6" t="s">
        <v>17</v>
      </c>
      <c r="G99" s="6" t="s">
        <v>23</v>
      </c>
      <c r="H99" s="7">
        <v>45020.0</v>
      </c>
      <c r="I99" s="8">
        <v>459.0</v>
      </c>
      <c r="J99" s="8">
        <v>227.47</v>
      </c>
      <c r="K99" s="8">
        <v>316.55</v>
      </c>
      <c r="L99" s="3">
        <f t="shared" si="1"/>
        <v>-40887.72</v>
      </c>
    </row>
    <row r="100">
      <c r="B100" s="6" t="s">
        <v>136</v>
      </c>
      <c r="C100" s="6" t="s">
        <v>61</v>
      </c>
      <c r="D100" s="6" t="s">
        <v>39</v>
      </c>
      <c r="E100" s="6" t="s">
        <v>32</v>
      </c>
      <c r="F100" s="6" t="s">
        <v>17</v>
      </c>
      <c r="G100" s="6" t="s">
        <v>18</v>
      </c>
      <c r="H100" s="7">
        <v>45021.0</v>
      </c>
      <c r="I100" s="8">
        <v>233.0</v>
      </c>
      <c r="J100" s="8">
        <v>296.0</v>
      </c>
      <c r="K100" s="8">
        <v>233.69</v>
      </c>
      <c r="L100" s="3">
        <f t="shared" si="1"/>
        <v>14518.23</v>
      </c>
    </row>
    <row r="101">
      <c r="B101" s="6" t="s">
        <v>137</v>
      </c>
      <c r="C101" s="6" t="s">
        <v>61</v>
      </c>
      <c r="D101" s="6" t="s">
        <v>31</v>
      </c>
      <c r="E101" s="6" t="s">
        <v>55</v>
      </c>
      <c r="F101" s="6" t="s">
        <v>28</v>
      </c>
      <c r="G101" s="6" t="s">
        <v>23</v>
      </c>
      <c r="H101" s="7">
        <v>45022.0</v>
      </c>
      <c r="I101" s="8">
        <v>22.0</v>
      </c>
      <c r="J101" s="8">
        <v>474.55</v>
      </c>
      <c r="K101" s="8">
        <v>273.03</v>
      </c>
      <c r="L101" s="3">
        <f t="shared" si="1"/>
        <v>4433.44</v>
      </c>
    </row>
    <row r="102">
      <c r="B102" s="6" t="s">
        <v>138</v>
      </c>
      <c r="C102" s="6" t="s">
        <v>61</v>
      </c>
      <c r="D102" s="6" t="s">
        <v>21</v>
      </c>
      <c r="E102" s="6" t="s">
        <v>27</v>
      </c>
      <c r="F102" s="6" t="s">
        <v>17</v>
      </c>
      <c r="G102" s="6" t="s">
        <v>33</v>
      </c>
      <c r="H102" s="7">
        <v>45023.0</v>
      </c>
      <c r="I102" s="8">
        <v>55.0</v>
      </c>
      <c r="J102" s="8">
        <v>130.0</v>
      </c>
      <c r="K102" s="8">
        <v>77.5</v>
      </c>
      <c r="L102" s="3">
        <f t="shared" si="1"/>
        <v>2887.5</v>
      </c>
    </row>
    <row r="103">
      <c r="B103" s="6" t="s">
        <v>139</v>
      </c>
      <c r="C103" s="6" t="s">
        <v>20</v>
      </c>
      <c r="D103" s="6" t="s">
        <v>31</v>
      </c>
      <c r="E103" s="6" t="s">
        <v>27</v>
      </c>
      <c r="F103" s="6" t="s">
        <v>17</v>
      </c>
      <c r="G103" s="6" t="s">
        <v>18</v>
      </c>
      <c r="H103" s="7">
        <v>45024.0</v>
      </c>
      <c r="I103" s="8">
        <v>164.0</v>
      </c>
      <c r="J103" s="8">
        <v>182.83</v>
      </c>
      <c r="K103" s="8">
        <v>248.34</v>
      </c>
      <c r="L103" s="3">
        <f t="shared" si="1"/>
        <v>-10743.64</v>
      </c>
    </row>
    <row r="104">
      <c r="B104" s="6" t="s">
        <v>140</v>
      </c>
      <c r="C104" s="6" t="s">
        <v>61</v>
      </c>
      <c r="D104" s="6" t="s">
        <v>31</v>
      </c>
      <c r="E104" s="6" t="s">
        <v>55</v>
      </c>
      <c r="F104" s="6" t="s">
        <v>17</v>
      </c>
      <c r="G104" s="6" t="s">
        <v>18</v>
      </c>
      <c r="H104" s="7">
        <v>45025.0</v>
      </c>
      <c r="I104" s="8">
        <v>122.0</v>
      </c>
      <c r="J104" s="8">
        <v>192.78</v>
      </c>
      <c r="K104" s="8">
        <v>130.75</v>
      </c>
      <c r="L104" s="3">
        <f t="shared" si="1"/>
        <v>7567.66</v>
      </c>
    </row>
    <row r="105">
      <c r="B105" s="6" t="s">
        <v>141</v>
      </c>
      <c r="C105" s="6" t="s">
        <v>26</v>
      </c>
      <c r="D105" s="6" t="s">
        <v>39</v>
      </c>
      <c r="E105" s="6" t="s">
        <v>16</v>
      </c>
      <c r="F105" s="6" t="s">
        <v>28</v>
      </c>
      <c r="G105" s="6" t="s">
        <v>23</v>
      </c>
      <c r="H105" s="7">
        <v>45026.0</v>
      </c>
      <c r="I105" s="8">
        <v>242.0</v>
      </c>
      <c r="J105" s="8">
        <v>304.74</v>
      </c>
      <c r="K105" s="8">
        <v>334.05</v>
      </c>
      <c r="L105" s="3">
        <f t="shared" si="1"/>
        <v>-7093.02</v>
      </c>
    </row>
    <row r="106">
      <c r="B106" s="6" t="s">
        <v>142</v>
      </c>
      <c r="C106" s="6" t="s">
        <v>14</v>
      </c>
      <c r="D106" s="6" t="s">
        <v>31</v>
      </c>
      <c r="E106" s="6" t="s">
        <v>55</v>
      </c>
      <c r="F106" s="6" t="s">
        <v>28</v>
      </c>
      <c r="G106" s="6" t="s">
        <v>23</v>
      </c>
      <c r="H106" s="7">
        <v>45027.0</v>
      </c>
      <c r="I106" s="8">
        <v>26.0</v>
      </c>
      <c r="J106" s="8">
        <v>181.58</v>
      </c>
      <c r="K106" s="8">
        <v>252.46</v>
      </c>
      <c r="L106" s="3">
        <f t="shared" si="1"/>
        <v>-1842.88</v>
      </c>
    </row>
    <row r="107">
      <c r="B107" s="6" t="s">
        <v>143</v>
      </c>
      <c r="C107" s="6" t="s">
        <v>61</v>
      </c>
      <c r="D107" s="6" t="s">
        <v>31</v>
      </c>
      <c r="E107" s="6" t="s">
        <v>32</v>
      </c>
      <c r="F107" s="6" t="s">
        <v>17</v>
      </c>
      <c r="G107" s="6" t="s">
        <v>18</v>
      </c>
      <c r="H107" s="7">
        <v>45028.0</v>
      </c>
      <c r="I107" s="8">
        <v>369.0</v>
      </c>
      <c r="J107" s="8">
        <v>269.09</v>
      </c>
      <c r="K107" s="8">
        <v>81.14</v>
      </c>
      <c r="L107" s="3">
        <f t="shared" si="1"/>
        <v>69353.55</v>
      </c>
    </row>
    <row r="108">
      <c r="B108" s="6" t="s">
        <v>144</v>
      </c>
      <c r="C108" s="6" t="s">
        <v>61</v>
      </c>
      <c r="D108" s="6" t="s">
        <v>39</v>
      </c>
      <c r="E108" s="6" t="s">
        <v>55</v>
      </c>
      <c r="F108" s="6" t="s">
        <v>28</v>
      </c>
      <c r="G108" s="6" t="s">
        <v>23</v>
      </c>
      <c r="H108" s="7">
        <v>45029.0</v>
      </c>
      <c r="I108" s="8">
        <v>232.0</v>
      </c>
      <c r="J108" s="8">
        <v>391.99</v>
      </c>
      <c r="K108" s="8">
        <v>27.72</v>
      </c>
      <c r="L108" s="3">
        <f t="shared" si="1"/>
        <v>84510.64</v>
      </c>
    </row>
    <row r="109">
      <c r="B109" s="6" t="s">
        <v>145</v>
      </c>
      <c r="C109" s="6" t="s">
        <v>20</v>
      </c>
      <c r="D109" s="6" t="s">
        <v>31</v>
      </c>
      <c r="E109" s="6" t="s">
        <v>27</v>
      </c>
      <c r="F109" s="6" t="s">
        <v>17</v>
      </c>
      <c r="G109" s="6" t="s">
        <v>23</v>
      </c>
      <c r="H109" s="7">
        <v>45030.0</v>
      </c>
      <c r="I109" s="8">
        <v>363.0</v>
      </c>
      <c r="J109" s="8">
        <v>354.17</v>
      </c>
      <c r="K109" s="8">
        <v>18.97</v>
      </c>
      <c r="L109" s="3">
        <f t="shared" si="1"/>
        <v>121677.6</v>
      </c>
    </row>
    <row r="110">
      <c r="B110" s="6" t="s">
        <v>146</v>
      </c>
      <c r="C110" s="6" t="s">
        <v>61</v>
      </c>
      <c r="D110" s="6" t="s">
        <v>31</v>
      </c>
      <c r="E110" s="6" t="s">
        <v>55</v>
      </c>
      <c r="F110" s="6" t="s">
        <v>17</v>
      </c>
      <c r="G110" s="6" t="s">
        <v>23</v>
      </c>
      <c r="H110" s="7">
        <v>45031.0</v>
      </c>
      <c r="I110" s="8">
        <v>197.0</v>
      </c>
      <c r="J110" s="8">
        <v>225.95</v>
      </c>
      <c r="K110" s="8">
        <v>149.82</v>
      </c>
      <c r="L110" s="3">
        <f t="shared" si="1"/>
        <v>14997.61</v>
      </c>
    </row>
    <row r="111">
      <c r="B111" s="6" t="s">
        <v>147</v>
      </c>
      <c r="C111" s="6" t="s">
        <v>61</v>
      </c>
      <c r="D111" s="6" t="s">
        <v>31</v>
      </c>
      <c r="E111" s="6" t="s">
        <v>16</v>
      </c>
      <c r="F111" s="6" t="s">
        <v>17</v>
      </c>
      <c r="G111" s="6" t="s">
        <v>33</v>
      </c>
      <c r="H111" s="7">
        <v>45032.0</v>
      </c>
      <c r="I111" s="8">
        <v>457.0</v>
      </c>
      <c r="J111" s="8">
        <v>432.79</v>
      </c>
      <c r="K111" s="8">
        <v>107.81</v>
      </c>
      <c r="L111" s="3">
        <f t="shared" si="1"/>
        <v>148515.86</v>
      </c>
    </row>
    <row r="112">
      <c r="B112" s="6" t="s">
        <v>148</v>
      </c>
      <c r="C112" s="6" t="s">
        <v>61</v>
      </c>
      <c r="D112" s="6" t="s">
        <v>21</v>
      </c>
      <c r="E112" s="6" t="s">
        <v>22</v>
      </c>
      <c r="F112" s="6" t="s">
        <v>17</v>
      </c>
      <c r="G112" s="6" t="s">
        <v>33</v>
      </c>
      <c r="H112" s="7">
        <v>45033.0</v>
      </c>
      <c r="I112" s="8">
        <v>353.0</v>
      </c>
      <c r="J112" s="8">
        <v>281.28</v>
      </c>
      <c r="K112" s="8">
        <v>259.14</v>
      </c>
      <c r="L112" s="3">
        <f t="shared" si="1"/>
        <v>7815.42</v>
      </c>
    </row>
    <row r="113">
      <c r="B113" s="6" t="s">
        <v>149</v>
      </c>
      <c r="C113" s="6" t="s">
        <v>20</v>
      </c>
      <c r="D113" s="6" t="s">
        <v>21</v>
      </c>
      <c r="E113" s="6" t="s">
        <v>55</v>
      </c>
      <c r="F113" s="6" t="s">
        <v>28</v>
      </c>
      <c r="G113" s="6" t="s">
        <v>23</v>
      </c>
      <c r="H113" s="7">
        <v>45034.0</v>
      </c>
      <c r="I113" s="8">
        <v>374.0</v>
      </c>
      <c r="J113" s="8">
        <v>272.25</v>
      </c>
      <c r="K113" s="8">
        <v>200.73</v>
      </c>
      <c r="L113" s="3">
        <f t="shared" si="1"/>
        <v>26748.48</v>
      </c>
    </row>
    <row r="114">
      <c r="B114" s="6" t="s">
        <v>150</v>
      </c>
      <c r="C114" s="6" t="s">
        <v>61</v>
      </c>
      <c r="D114" s="6" t="s">
        <v>21</v>
      </c>
      <c r="E114" s="6" t="s">
        <v>16</v>
      </c>
      <c r="F114" s="6" t="s">
        <v>28</v>
      </c>
      <c r="G114" s="6" t="s">
        <v>23</v>
      </c>
      <c r="H114" s="7">
        <v>45035.0</v>
      </c>
      <c r="I114" s="8">
        <v>172.0</v>
      </c>
      <c r="J114" s="8">
        <v>21.92</v>
      </c>
      <c r="K114" s="8">
        <v>107.88</v>
      </c>
      <c r="L114" s="3">
        <f t="shared" si="1"/>
        <v>-14785.12</v>
      </c>
    </row>
    <row r="115">
      <c r="B115" s="6" t="s">
        <v>151</v>
      </c>
      <c r="C115" s="6" t="s">
        <v>14</v>
      </c>
      <c r="D115" s="6" t="s">
        <v>39</v>
      </c>
      <c r="E115" s="6" t="s">
        <v>16</v>
      </c>
      <c r="F115" s="6" t="s">
        <v>28</v>
      </c>
      <c r="G115" s="6" t="s">
        <v>33</v>
      </c>
      <c r="H115" s="7">
        <v>45036.0</v>
      </c>
      <c r="I115" s="8">
        <v>335.0</v>
      </c>
      <c r="J115" s="8">
        <v>493.41</v>
      </c>
      <c r="K115" s="8">
        <v>61.4</v>
      </c>
      <c r="L115" s="3">
        <f t="shared" si="1"/>
        <v>144723.35</v>
      </c>
    </row>
    <row r="116">
      <c r="B116" s="6" t="s">
        <v>152</v>
      </c>
      <c r="C116" s="6" t="s">
        <v>20</v>
      </c>
      <c r="D116" s="6" t="s">
        <v>63</v>
      </c>
      <c r="E116" s="6" t="s">
        <v>27</v>
      </c>
      <c r="F116" s="6" t="s">
        <v>17</v>
      </c>
      <c r="G116" s="6" t="s">
        <v>33</v>
      </c>
      <c r="H116" s="7">
        <v>45037.0</v>
      </c>
      <c r="I116" s="8">
        <v>476.0</v>
      </c>
      <c r="J116" s="8">
        <v>65.87</v>
      </c>
      <c r="K116" s="8">
        <v>52.63</v>
      </c>
      <c r="L116" s="3">
        <f t="shared" si="1"/>
        <v>6302.24</v>
      </c>
    </row>
    <row r="117">
      <c r="B117" s="6" t="s">
        <v>153</v>
      </c>
      <c r="C117" s="6" t="s">
        <v>14</v>
      </c>
      <c r="D117" s="6" t="s">
        <v>31</v>
      </c>
      <c r="E117" s="6" t="s">
        <v>16</v>
      </c>
      <c r="F117" s="6" t="s">
        <v>17</v>
      </c>
      <c r="G117" s="6" t="s">
        <v>18</v>
      </c>
      <c r="H117" s="7">
        <v>45038.0</v>
      </c>
      <c r="I117" s="8">
        <v>423.0</v>
      </c>
      <c r="J117" s="8">
        <v>119.41</v>
      </c>
      <c r="K117" s="8">
        <v>346.13</v>
      </c>
      <c r="L117" s="3">
        <f t="shared" si="1"/>
        <v>-95902.56</v>
      </c>
    </row>
    <row r="118">
      <c r="B118" s="6" t="s">
        <v>154</v>
      </c>
      <c r="C118" s="6" t="s">
        <v>20</v>
      </c>
      <c r="D118" s="6" t="s">
        <v>31</v>
      </c>
      <c r="E118" s="6" t="s">
        <v>16</v>
      </c>
      <c r="F118" s="6" t="s">
        <v>17</v>
      </c>
      <c r="G118" s="6" t="s">
        <v>18</v>
      </c>
      <c r="H118" s="7">
        <v>45039.0</v>
      </c>
      <c r="I118" s="8">
        <v>464.0</v>
      </c>
      <c r="J118" s="8">
        <v>30.59</v>
      </c>
      <c r="K118" s="8">
        <v>98.9</v>
      </c>
      <c r="L118" s="3">
        <f t="shared" si="1"/>
        <v>-31695.84</v>
      </c>
    </row>
    <row r="119">
      <c r="B119" s="6" t="s">
        <v>155</v>
      </c>
      <c r="C119" s="6" t="s">
        <v>61</v>
      </c>
      <c r="D119" s="6" t="s">
        <v>39</v>
      </c>
      <c r="E119" s="6" t="s">
        <v>16</v>
      </c>
      <c r="F119" s="6" t="s">
        <v>28</v>
      </c>
      <c r="G119" s="6" t="s">
        <v>33</v>
      </c>
      <c r="H119" s="7">
        <v>45040.0</v>
      </c>
      <c r="I119" s="8">
        <v>83.0</v>
      </c>
      <c r="J119" s="8">
        <v>321.8</v>
      </c>
      <c r="K119" s="8">
        <v>261.38</v>
      </c>
      <c r="L119" s="3">
        <f t="shared" si="1"/>
        <v>5014.86</v>
      </c>
    </row>
    <row r="120">
      <c r="B120" s="6" t="s">
        <v>156</v>
      </c>
      <c r="C120" s="6" t="s">
        <v>14</v>
      </c>
      <c r="D120" s="6" t="s">
        <v>31</v>
      </c>
      <c r="E120" s="6" t="s">
        <v>16</v>
      </c>
      <c r="F120" s="6" t="s">
        <v>17</v>
      </c>
      <c r="G120" s="6" t="s">
        <v>23</v>
      </c>
      <c r="H120" s="7">
        <v>45041.0</v>
      </c>
      <c r="I120" s="8">
        <v>242.0</v>
      </c>
      <c r="J120" s="8">
        <v>116.23</v>
      </c>
      <c r="K120" s="8">
        <v>324.65</v>
      </c>
      <c r="L120" s="3">
        <f t="shared" si="1"/>
        <v>-50437.64</v>
      </c>
    </row>
    <row r="121">
      <c r="B121" s="6" t="s">
        <v>157</v>
      </c>
      <c r="C121" s="6" t="s">
        <v>20</v>
      </c>
      <c r="D121" s="6" t="s">
        <v>21</v>
      </c>
      <c r="E121" s="6" t="s">
        <v>32</v>
      </c>
      <c r="F121" s="6" t="s">
        <v>28</v>
      </c>
      <c r="G121" s="6" t="s">
        <v>23</v>
      </c>
      <c r="H121" s="7">
        <v>45042.0</v>
      </c>
      <c r="I121" s="8">
        <v>233.0</v>
      </c>
      <c r="J121" s="8">
        <v>94.11</v>
      </c>
      <c r="K121" s="8">
        <v>246.4</v>
      </c>
      <c r="L121" s="3">
        <f t="shared" si="1"/>
        <v>-35483.57</v>
      </c>
    </row>
    <row r="122">
      <c r="B122" s="6" t="s">
        <v>158</v>
      </c>
      <c r="C122" s="6" t="s">
        <v>26</v>
      </c>
      <c r="D122" s="6" t="s">
        <v>63</v>
      </c>
      <c r="E122" s="6" t="s">
        <v>32</v>
      </c>
      <c r="F122" s="6" t="s">
        <v>28</v>
      </c>
      <c r="G122" s="6" t="s">
        <v>23</v>
      </c>
      <c r="H122" s="7">
        <v>45043.0</v>
      </c>
      <c r="I122" s="8">
        <v>491.0</v>
      </c>
      <c r="J122" s="8">
        <v>48.84</v>
      </c>
      <c r="K122" s="8">
        <v>344.11</v>
      </c>
      <c r="L122" s="3">
        <f t="shared" si="1"/>
        <v>-144977.57</v>
      </c>
    </row>
    <row r="123">
      <c r="B123" s="6" t="s">
        <v>159</v>
      </c>
      <c r="C123" s="6"/>
      <c r="D123" s="6" t="s">
        <v>15</v>
      </c>
      <c r="E123" s="6" t="s">
        <v>27</v>
      </c>
      <c r="F123" s="6" t="s">
        <v>28</v>
      </c>
      <c r="G123" s="6" t="s">
        <v>23</v>
      </c>
      <c r="H123" s="7">
        <v>45044.0</v>
      </c>
      <c r="I123" s="8">
        <v>328.0</v>
      </c>
      <c r="J123" s="8">
        <v>56.14</v>
      </c>
      <c r="K123" s="8">
        <v>158.17</v>
      </c>
      <c r="L123" s="3">
        <f t="shared" si="1"/>
        <v>-33465.84</v>
      </c>
    </row>
    <row r="124">
      <c r="B124" s="6" t="s">
        <v>160</v>
      </c>
      <c r="C124" s="6" t="s">
        <v>20</v>
      </c>
      <c r="D124" s="6" t="s">
        <v>31</v>
      </c>
      <c r="E124" s="6" t="s">
        <v>55</v>
      </c>
      <c r="F124" s="6" t="s">
        <v>28</v>
      </c>
      <c r="G124" s="6" t="s">
        <v>18</v>
      </c>
      <c r="H124" s="7">
        <v>45045.0</v>
      </c>
      <c r="I124" s="8">
        <v>421.0</v>
      </c>
      <c r="J124" s="8">
        <v>294.41</v>
      </c>
      <c r="K124" s="8">
        <v>382.58</v>
      </c>
      <c r="L124" s="3">
        <f t="shared" si="1"/>
        <v>-37119.57</v>
      </c>
    </row>
    <row r="125">
      <c r="B125" s="6" t="s">
        <v>161</v>
      </c>
      <c r="C125" s="6" t="s">
        <v>26</v>
      </c>
      <c r="D125" s="6" t="s">
        <v>21</v>
      </c>
      <c r="E125" s="6" t="s">
        <v>16</v>
      </c>
      <c r="F125" s="6" t="s">
        <v>28</v>
      </c>
      <c r="G125" s="6" t="s">
        <v>33</v>
      </c>
      <c r="H125" s="7">
        <v>45046.0</v>
      </c>
      <c r="I125" s="8">
        <v>69.0</v>
      </c>
      <c r="J125" s="8">
        <v>345.66</v>
      </c>
      <c r="K125" s="8">
        <v>54.99</v>
      </c>
      <c r="L125" s="3">
        <f t="shared" si="1"/>
        <v>20056.23</v>
      </c>
    </row>
    <row r="126">
      <c r="B126" s="6" t="s">
        <v>162</v>
      </c>
      <c r="C126" s="6" t="s">
        <v>20</v>
      </c>
      <c r="D126" s="6" t="s">
        <v>15</v>
      </c>
      <c r="E126" s="6" t="s">
        <v>55</v>
      </c>
      <c r="F126" s="6" t="s">
        <v>28</v>
      </c>
      <c r="G126" s="6" t="s">
        <v>23</v>
      </c>
      <c r="H126" s="7">
        <v>45047.0</v>
      </c>
      <c r="I126" s="8">
        <v>344.0</v>
      </c>
      <c r="J126" s="8">
        <v>201.7</v>
      </c>
      <c r="K126" s="8">
        <v>42.66</v>
      </c>
      <c r="L126" s="3">
        <f t="shared" si="1"/>
        <v>54709.76</v>
      </c>
    </row>
    <row r="127">
      <c r="B127" s="6" t="s">
        <v>163</v>
      </c>
      <c r="C127" s="6"/>
      <c r="D127" s="6" t="s">
        <v>63</v>
      </c>
      <c r="E127" s="6" t="s">
        <v>55</v>
      </c>
      <c r="F127" s="6" t="s">
        <v>17</v>
      </c>
      <c r="G127" s="6" t="s">
        <v>18</v>
      </c>
      <c r="H127" s="7">
        <v>45048.0</v>
      </c>
      <c r="I127" s="8">
        <v>231.0</v>
      </c>
      <c r="J127" s="8">
        <v>242.55</v>
      </c>
      <c r="K127" s="8">
        <v>264.16</v>
      </c>
      <c r="L127" s="3">
        <f t="shared" si="1"/>
        <v>-4991.91</v>
      </c>
    </row>
    <row r="128">
      <c r="B128" s="6" t="s">
        <v>164</v>
      </c>
      <c r="C128" s="6" t="s">
        <v>61</v>
      </c>
      <c r="D128" s="6" t="s">
        <v>15</v>
      </c>
      <c r="E128" s="6" t="s">
        <v>27</v>
      </c>
      <c r="F128" s="6" t="s">
        <v>17</v>
      </c>
      <c r="G128" s="6" t="s">
        <v>23</v>
      </c>
      <c r="H128" s="7">
        <v>45049.0</v>
      </c>
      <c r="I128" s="8">
        <v>46.0</v>
      </c>
      <c r="J128" s="8">
        <v>344.55</v>
      </c>
      <c r="K128" s="8">
        <v>377.25</v>
      </c>
      <c r="L128" s="3">
        <f t="shared" si="1"/>
        <v>-1504.2</v>
      </c>
    </row>
    <row r="129">
      <c r="B129" s="6" t="s">
        <v>165</v>
      </c>
      <c r="C129" s="6" t="s">
        <v>14</v>
      </c>
      <c r="D129" s="6" t="s">
        <v>21</v>
      </c>
      <c r="E129" s="6" t="s">
        <v>16</v>
      </c>
      <c r="F129" s="6" t="s">
        <v>28</v>
      </c>
      <c r="G129" s="6" t="s">
        <v>33</v>
      </c>
      <c r="H129" s="7">
        <v>45050.0</v>
      </c>
      <c r="I129" s="8">
        <v>486.0</v>
      </c>
      <c r="J129" s="8">
        <v>13.6</v>
      </c>
      <c r="K129" s="8">
        <v>323.94</v>
      </c>
      <c r="L129" s="3">
        <f t="shared" si="1"/>
        <v>-150825.24</v>
      </c>
    </row>
    <row r="130">
      <c r="B130" s="6" t="s">
        <v>166</v>
      </c>
      <c r="C130" s="6" t="s">
        <v>26</v>
      </c>
      <c r="D130" s="6" t="s">
        <v>15</v>
      </c>
      <c r="E130" s="6" t="s">
        <v>16</v>
      </c>
      <c r="F130" s="6" t="s">
        <v>28</v>
      </c>
      <c r="G130" s="6" t="s">
        <v>18</v>
      </c>
      <c r="H130" s="7">
        <v>45051.0</v>
      </c>
      <c r="I130" s="8">
        <v>287.0</v>
      </c>
      <c r="J130" s="8">
        <v>164.95</v>
      </c>
      <c r="K130" s="8">
        <v>32.41</v>
      </c>
      <c r="L130" s="3">
        <f t="shared" si="1"/>
        <v>38038.98</v>
      </c>
    </row>
    <row r="131">
      <c r="B131" s="6" t="s">
        <v>167</v>
      </c>
      <c r="C131" s="6" t="s">
        <v>20</v>
      </c>
      <c r="D131" s="6" t="s">
        <v>39</v>
      </c>
      <c r="E131" s="6" t="s">
        <v>22</v>
      </c>
      <c r="F131" s="6" t="s">
        <v>17</v>
      </c>
      <c r="G131" s="6" t="s">
        <v>33</v>
      </c>
      <c r="H131" s="7">
        <v>45052.0</v>
      </c>
      <c r="I131" s="8">
        <v>205.0</v>
      </c>
      <c r="J131" s="8">
        <v>486.68</v>
      </c>
      <c r="K131" s="8">
        <v>113.19</v>
      </c>
      <c r="L131" s="3">
        <f t="shared" si="1"/>
        <v>76565.45</v>
      </c>
    </row>
    <row r="132">
      <c r="B132" s="6" t="s">
        <v>168</v>
      </c>
      <c r="C132" s="6" t="s">
        <v>61</v>
      </c>
      <c r="D132" s="6" t="s">
        <v>15</v>
      </c>
      <c r="E132" s="6" t="s">
        <v>55</v>
      </c>
      <c r="F132" s="6" t="s">
        <v>28</v>
      </c>
      <c r="G132" s="6" t="s">
        <v>33</v>
      </c>
      <c r="H132" s="7">
        <v>45053.0</v>
      </c>
      <c r="I132" s="8">
        <v>413.0</v>
      </c>
      <c r="J132" s="8">
        <v>292.16</v>
      </c>
      <c r="K132" s="8">
        <v>372.27</v>
      </c>
      <c r="L132" s="3">
        <f t="shared" si="1"/>
        <v>-33085.43</v>
      </c>
    </row>
    <row r="133">
      <c r="B133" s="6" t="s">
        <v>169</v>
      </c>
      <c r="C133" s="6" t="s">
        <v>26</v>
      </c>
      <c r="D133" s="6" t="s">
        <v>31</v>
      </c>
      <c r="E133" s="6" t="s">
        <v>55</v>
      </c>
      <c r="F133" s="6" t="s">
        <v>28</v>
      </c>
      <c r="G133" s="6" t="s">
        <v>18</v>
      </c>
      <c r="H133" s="7">
        <v>45054.0</v>
      </c>
      <c r="I133" s="8">
        <v>361.0</v>
      </c>
      <c r="J133" s="8">
        <v>130.84</v>
      </c>
      <c r="K133" s="8">
        <v>102.72</v>
      </c>
      <c r="L133" s="3">
        <f t="shared" si="1"/>
        <v>10151.32</v>
      </c>
    </row>
    <row r="134">
      <c r="B134" s="6" t="s">
        <v>170</v>
      </c>
      <c r="C134" s="6" t="s">
        <v>20</v>
      </c>
      <c r="D134" s="6" t="s">
        <v>31</v>
      </c>
      <c r="E134" s="6" t="s">
        <v>32</v>
      </c>
      <c r="F134" s="6" t="s">
        <v>17</v>
      </c>
      <c r="G134" s="6" t="s">
        <v>18</v>
      </c>
      <c r="H134" s="7">
        <v>45055.0</v>
      </c>
      <c r="I134" s="8">
        <v>493.0</v>
      </c>
      <c r="J134" s="8">
        <v>263.26</v>
      </c>
      <c r="K134" s="8">
        <v>312.91</v>
      </c>
      <c r="L134" s="3">
        <f t="shared" si="1"/>
        <v>-24477.45</v>
      </c>
    </row>
    <row r="135">
      <c r="B135" s="6" t="s">
        <v>171</v>
      </c>
      <c r="C135" s="6" t="s">
        <v>20</v>
      </c>
      <c r="D135" s="6" t="s">
        <v>39</v>
      </c>
      <c r="E135" s="6" t="s">
        <v>22</v>
      </c>
      <c r="F135" s="6" t="s">
        <v>28</v>
      </c>
      <c r="G135" s="6" t="s">
        <v>18</v>
      </c>
      <c r="H135" s="7">
        <v>45056.0</v>
      </c>
      <c r="I135" s="8">
        <v>251.0</v>
      </c>
      <c r="J135" s="8">
        <v>174.61</v>
      </c>
      <c r="K135" s="8">
        <v>330.4</v>
      </c>
      <c r="L135" s="3">
        <f t="shared" si="1"/>
        <v>-39103.29</v>
      </c>
    </row>
    <row r="136">
      <c r="B136" s="6" t="s">
        <v>172</v>
      </c>
      <c r="C136" s="6" t="s">
        <v>20</v>
      </c>
      <c r="D136" s="6" t="s">
        <v>21</v>
      </c>
      <c r="E136" s="6" t="s">
        <v>32</v>
      </c>
      <c r="F136" s="6" t="s">
        <v>28</v>
      </c>
      <c r="G136" s="6" t="s">
        <v>18</v>
      </c>
      <c r="H136" s="7">
        <v>45057.0</v>
      </c>
      <c r="I136" s="6"/>
      <c r="J136" s="8">
        <v>268.46</v>
      </c>
      <c r="K136" s="8">
        <v>199.19</v>
      </c>
      <c r="L136" s="3">
        <f t="shared" si="1"/>
        <v>0</v>
      </c>
    </row>
    <row r="137">
      <c r="B137" s="6" t="s">
        <v>173</v>
      </c>
      <c r="C137" s="6" t="s">
        <v>26</v>
      </c>
      <c r="D137" s="6" t="s">
        <v>31</v>
      </c>
      <c r="E137" s="6" t="s">
        <v>32</v>
      </c>
      <c r="F137" s="6" t="s">
        <v>28</v>
      </c>
      <c r="G137" s="6" t="s">
        <v>18</v>
      </c>
      <c r="H137" s="7">
        <v>45058.0</v>
      </c>
      <c r="I137" s="8">
        <v>228.0</v>
      </c>
      <c r="J137" s="8">
        <v>67.24</v>
      </c>
      <c r="K137" s="8">
        <v>155.77</v>
      </c>
      <c r="L137" s="3">
        <f t="shared" si="1"/>
        <v>-20184.84</v>
      </c>
    </row>
    <row r="138">
      <c r="B138" s="6" t="s">
        <v>174</v>
      </c>
      <c r="C138" s="6" t="s">
        <v>26</v>
      </c>
      <c r="D138" s="6" t="s">
        <v>63</v>
      </c>
      <c r="E138" s="6" t="s">
        <v>32</v>
      </c>
      <c r="F138" s="6" t="s">
        <v>17</v>
      </c>
      <c r="G138" s="6" t="s">
        <v>18</v>
      </c>
      <c r="H138" s="7">
        <v>45059.0</v>
      </c>
      <c r="I138" s="8">
        <v>201.0</v>
      </c>
      <c r="J138" s="8">
        <v>70.69</v>
      </c>
      <c r="K138" s="8">
        <v>181.15</v>
      </c>
      <c r="L138" s="3">
        <f t="shared" si="1"/>
        <v>-22202.46</v>
      </c>
    </row>
    <row r="139">
      <c r="B139" s="6" t="s">
        <v>175</v>
      </c>
      <c r="C139" s="6" t="s">
        <v>26</v>
      </c>
      <c r="D139" s="6" t="s">
        <v>31</v>
      </c>
      <c r="E139" s="6" t="s">
        <v>27</v>
      </c>
      <c r="F139" s="6" t="s">
        <v>17</v>
      </c>
      <c r="G139" s="6" t="s">
        <v>18</v>
      </c>
      <c r="H139" s="7">
        <v>45060.0</v>
      </c>
      <c r="I139" s="8">
        <v>26.0</v>
      </c>
      <c r="J139" s="8">
        <v>76.05</v>
      </c>
      <c r="K139" s="8">
        <v>92.33</v>
      </c>
      <c r="L139" s="3">
        <f t="shared" si="1"/>
        <v>-423.28</v>
      </c>
    </row>
    <row r="140">
      <c r="B140" s="6" t="s">
        <v>176</v>
      </c>
      <c r="C140" s="6" t="s">
        <v>14</v>
      </c>
      <c r="D140" s="6" t="s">
        <v>31</v>
      </c>
      <c r="E140" s="6" t="s">
        <v>27</v>
      </c>
      <c r="F140" s="6" t="s">
        <v>17</v>
      </c>
      <c r="G140" s="6" t="s">
        <v>23</v>
      </c>
      <c r="H140" s="7">
        <v>45061.0</v>
      </c>
      <c r="I140" s="8">
        <v>21.0</v>
      </c>
      <c r="J140" s="8">
        <v>470.21</v>
      </c>
      <c r="K140" s="8">
        <v>355.98</v>
      </c>
      <c r="L140" s="3">
        <f t="shared" si="1"/>
        <v>2398.83</v>
      </c>
    </row>
    <row r="141">
      <c r="B141" s="6" t="s">
        <v>177</v>
      </c>
      <c r="C141" s="6" t="s">
        <v>26</v>
      </c>
      <c r="D141" s="6" t="s">
        <v>21</v>
      </c>
      <c r="E141" s="6" t="s">
        <v>32</v>
      </c>
      <c r="F141" s="6" t="s">
        <v>28</v>
      </c>
      <c r="G141" s="6" t="s">
        <v>33</v>
      </c>
      <c r="H141" s="7">
        <v>45062.0</v>
      </c>
      <c r="I141" s="8">
        <v>415.0</v>
      </c>
      <c r="J141" s="8">
        <v>367.78</v>
      </c>
      <c r="K141" s="8">
        <v>181.35</v>
      </c>
      <c r="L141" s="3">
        <f t="shared" si="1"/>
        <v>77368.45</v>
      </c>
    </row>
    <row r="142">
      <c r="B142" s="6" t="s">
        <v>178</v>
      </c>
      <c r="C142" s="6" t="s">
        <v>26</v>
      </c>
      <c r="D142" s="6" t="s">
        <v>15</v>
      </c>
      <c r="E142" s="6" t="s">
        <v>22</v>
      </c>
      <c r="F142" s="6" t="s">
        <v>28</v>
      </c>
      <c r="G142" s="6" t="s">
        <v>18</v>
      </c>
      <c r="H142" s="7">
        <v>45063.0</v>
      </c>
      <c r="I142" s="8">
        <v>410.0</v>
      </c>
      <c r="J142" s="8">
        <v>85.38</v>
      </c>
      <c r="K142" s="8">
        <v>353.22</v>
      </c>
      <c r="L142" s="3">
        <f t="shared" si="1"/>
        <v>-109814.4</v>
      </c>
    </row>
    <row r="143">
      <c r="B143" s="6" t="s">
        <v>179</v>
      </c>
      <c r="C143" s="6" t="s">
        <v>26</v>
      </c>
      <c r="D143" s="6" t="s">
        <v>31</v>
      </c>
      <c r="E143" s="6" t="s">
        <v>55</v>
      </c>
      <c r="F143" s="6" t="s">
        <v>17</v>
      </c>
      <c r="G143" s="6" t="s">
        <v>23</v>
      </c>
      <c r="H143" s="7">
        <v>45064.0</v>
      </c>
      <c r="I143" s="8">
        <v>403.0</v>
      </c>
      <c r="J143" s="8">
        <v>98.23</v>
      </c>
      <c r="K143" s="8">
        <v>44.07</v>
      </c>
      <c r="L143" s="3">
        <f t="shared" si="1"/>
        <v>21826.48</v>
      </c>
    </row>
    <row r="144">
      <c r="B144" s="6" t="s">
        <v>180</v>
      </c>
      <c r="C144" s="6" t="s">
        <v>14</v>
      </c>
      <c r="D144" s="6" t="s">
        <v>39</v>
      </c>
      <c r="E144" s="6" t="s">
        <v>22</v>
      </c>
      <c r="F144" s="6" t="s">
        <v>28</v>
      </c>
      <c r="G144" s="6" t="s">
        <v>23</v>
      </c>
      <c r="H144" s="7">
        <v>45065.0</v>
      </c>
      <c r="I144" s="8">
        <v>383.0</v>
      </c>
      <c r="J144" s="8">
        <v>366.76</v>
      </c>
      <c r="K144" s="8">
        <v>395.33</v>
      </c>
      <c r="L144" s="3">
        <f t="shared" si="1"/>
        <v>-10942.31</v>
      </c>
    </row>
    <row r="145">
      <c r="B145" s="6" t="s">
        <v>181</v>
      </c>
      <c r="C145" s="6" t="s">
        <v>26</v>
      </c>
      <c r="D145" s="6" t="s">
        <v>15</v>
      </c>
      <c r="E145" s="6" t="s">
        <v>16</v>
      </c>
      <c r="F145" s="6" t="s">
        <v>28</v>
      </c>
      <c r="G145" s="6" t="s">
        <v>23</v>
      </c>
      <c r="H145" s="7">
        <v>45066.0</v>
      </c>
      <c r="I145" s="8">
        <v>202.0</v>
      </c>
      <c r="J145" s="8">
        <v>82.3</v>
      </c>
      <c r="K145" s="8">
        <v>178.42</v>
      </c>
      <c r="L145" s="3">
        <f t="shared" si="1"/>
        <v>-19416.24</v>
      </c>
    </row>
    <row r="146">
      <c r="B146" s="6" t="s">
        <v>182</v>
      </c>
      <c r="C146" s="6" t="s">
        <v>20</v>
      </c>
      <c r="D146" s="6" t="s">
        <v>63</v>
      </c>
      <c r="E146" s="6" t="s">
        <v>27</v>
      </c>
      <c r="F146" s="6" t="s">
        <v>28</v>
      </c>
      <c r="G146" s="6" t="s">
        <v>33</v>
      </c>
      <c r="H146" s="7">
        <v>45067.0</v>
      </c>
      <c r="I146" s="8">
        <v>31.0</v>
      </c>
      <c r="J146" s="8">
        <v>121.11</v>
      </c>
      <c r="K146" s="8">
        <v>21.04</v>
      </c>
      <c r="L146" s="3">
        <f t="shared" si="1"/>
        <v>3102.17</v>
      </c>
    </row>
    <row r="147">
      <c r="B147" s="6" t="s">
        <v>183</v>
      </c>
      <c r="C147" s="6" t="s">
        <v>26</v>
      </c>
      <c r="D147" s="6" t="s">
        <v>21</v>
      </c>
      <c r="E147" s="6" t="s">
        <v>55</v>
      </c>
      <c r="F147" s="6" t="s">
        <v>28</v>
      </c>
      <c r="G147" s="6" t="s">
        <v>18</v>
      </c>
      <c r="H147" s="7">
        <v>45068.0</v>
      </c>
      <c r="I147" s="8">
        <v>483.0</v>
      </c>
      <c r="J147" s="8">
        <v>481.86</v>
      </c>
      <c r="K147" s="8">
        <v>17.13</v>
      </c>
      <c r="L147" s="3">
        <f t="shared" si="1"/>
        <v>224464.59</v>
      </c>
    </row>
    <row r="148">
      <c r="B148" s="6" t="s">
        <v>184</v>
      </c>
      <c r="C148" s="6" t="s">
        <v>20</v>
      </c>
      <c r="D148" s="6" t="s">
        <v>63</v>
      </c>
      <c r="E148" s="6" t="s">
        <v>55</v>
      </c>
      <c r="F148" s="6" t="s">
        <v>28</v>
      </c>
      <c r="G148" s="6" t="s">
        <v>23</v>
      </c>
      <c r="H148" s="7">
        <v>45069.0</v>
      </c>
      <c r="I148" s="8">
        <v>129.0</v>
      </c>
      <c r="J148" s="8">
        <v>131.38</v>
      </c>
      <c r="K148" s="8">
        <v>298.99</v>
      </c>
      <c r="L148" s="3">
        <f t="shared" si="1"/>
        <v>-21621.69</v>
      </c>
    </row>
    <row r="149">
      <c r="B149" s="6" t="s">
        <v>185</v>
      </c>
      <c r="C149" s="6" t="s">
        <v>20</v>
      </c>
      <c r="D149" s="6" t="s">
        <v>15</v>
      </c>
      <c r="E149" s="6" t="s">
        <v>16</v>
      </c>
      <c r="F149" s="6" t="s">
        <v>17</v>
      </c>
      <c r="G149" s="6" t="s">
        <v>33</v>
      </c>
      <c r="H149" s="7">
        <v>45070.0</v>
      </c>
      <c r="I149" s="8">
        <v>219.0</v>
      </c>
      <c r="J149" s="8">
        <v>332.51</v>
      </c>
      <c r="K149" s="8">
        <v>264.3</v>
      </c>
      <c r="L149" s="3">
        <f t="shared" si="1"/>
        <v>14937.99</v>
      </c>
    </row>
    <row r="150">
      <c r="B150" s="6" t="s">
        <v>186</v>
      </c>
      <c r="C150" s="6" t="s">
        <v>20</v>
      </c>
      <c r="D150" s="6" t="s">
        <v>15</v>
      </c>
      <c r="E150" s="6" t="s">
        <v>16</v>
      </c>
      <c r="F150" s="6" t="s">
        <v>28</v>
      </c>
      <c r="G150" s="6" t="s">
        <v>33</v>
      </c>
      <c r="H150" s="7">
        <v>45071.0</v>
      </c>
      <c r="I150" s="8">
        <v>315.0</v>
      </c>
      <c r="J150" s="8">
        <v>489.42</v>
      </c>
      <c r="K150" s="8">
        <v>321.25</v>
      </c>
      <c r="L150" s="3">
        <f t="shared" si="1"/>
        <v>52973.55</v>
      </c>
    </row>
    <row r="151">
      <c r="B151" s="6" t="s">
        <v>187</v>
      </c>
      <c r="C151" s="6" t="s">
        <v>14</v>
      </c>
      <c r="D151" s="6" t="s">
        <v>15</v>
      </c>
      <c r="E151" s="6" t="s">
        <v>32</v>
      </c>
      <c r="F151" s="6" t="s">
        <v>17</v>
      </c>
      <c r="G151" s="6" t="s">
        <v>33</v>
      </c>
      <c r="H151" s="7">
        <v>45072.0</v>
      </c>
      <c r="I151" s="8">
        <v>279.0</v>
      </c>
      <c r="J151" s="8">
        <v>190.28</v>
      </c>
      <c r="K151" s="8">
        <v>43.94</v>
      </c>
      <c r="L151" s="3">
        <f t="shared" si="1"/>
        <v>40828.86</v>
      </c>
    </row>
    <row r="152">
      <c r="B152" s="6" t="s">
        <v>188</v>
      </c>
      <c r="C152" s="6" t="s">
        <v>14</v>
      </c>
      <c r="D152" s="6" t="s">
        <v>63</v>
      </c>
      <c r="E152" s="6" t="s">
        <v>27</v>
      </c>
      <c r="F152" s="6" t="s">
        <v>28</v>
      </c>
      <c r="G152" s="6" t="s">
        <v>23</v>
      </c>
      <c r="H152" s="7">
        <v>45073.0</v>
      </c>
      <c r="I152" s="8">
        <v>201.0</v>
      </c>
      <c r="J152" s="8">
        <v>13.67</v>
      </c>
      <c r="K152" s="8">
        <v>16.16</v>
      </c>
      <c r="L152" s="3">
        <f t="shared" si="1"/>
        <v>-500.49</v>
      </c>
    </row>
    <row r="153">
      <c r="B153" s="6" t="s">
        <v>189</v>
      </c>
      <c r="C153" s="6" t="s">
        <v>14</v>
      </c>
      <c r="D153" s="6" t="s">
        <v>15</v>
      </c>
      <c r="E153" s="6" t="s">
        <v>27</v>
      </c>
      <c r="F153" s="6" t="s">
        <v>17</v>
      </c>
      <c r="G153" s="6" t="s">
        <v>18</v>
      </c>
      <c r="H153" s="7">
        <v>45074.0</v>
      </c>
      <c r="I153" s="8">
        <v>184.0</v>
      </c>
      <c r="J153" s="8">
        <v>125.85</v>
      </c>
      <c r="K153" s="8">
        <v>204.41</v>
      </c>
      <c r="L153" s="3">
        <f t="shared" si="1"/>
        <v>-14455.04</v>
      </c>
    </row>
    <row r="154">
      <c r="B154" s="6" t="s">
        <v>190</v>
      </c>
      <c r="C154" s="6" t="s">
        <v>26</v>
      </c>
      <c r="D154" s="6" t="s">
        <v>63</v>
      </c>
      <c r="E154" s="6" t="s">
        <v>22</v>
      </c>
      <c r="F154" s="6" t="s">
        <v>28</v>
      </c>
      <c r="G154" s="6" t="s">
        <v>23</v>
      </c>
      <c r="H154" s="7">
        <v>45075.0</v>
      </c>
      <c r="I154" s="8">
        <v>294.0</v>
      </c>
      <c r="J154" s="8">
        <v>416.28</v>
      </c>
      <c r="K154" s="8">
        <v>156.26</v>
      </c>
      <c r="L154" s="3">
        <f t="shared" si="1"/>
        <v>76445.88</v>
      </c>
    </row>
    <row r="155">
      <c r="B155" s="6" t="s">
        <v>191</v>
      </c>
      <c r="C155" s="6" t="s">
        <v>20</v>
      </c>
      <c r="D155" s="6" t="s">
        <v>15</v>
      </c>
      <c r="E155" s="6" t="s">
        <v>32</v>
      </c>
      <c r="F155" s="6" t="s">
        <v>17</v>
      </c>
      <c r="G155" s="6" t="s">
        <v>23</v>
      </c>
      <c r="H155" s="7">
        <v>45076.0</v>
      </c>
      <c r="I155" s="8">
        <v>213.0</v>
      </c>
      <c r="J155" s="8">
        <v>432.98</v>
      </c>
      <c r="K155" s="8">
        <v>185.85</v>
      </c>
      <c r="L155" s="3">
        <f t="shared" si="1"/>
        <v>52638.69</v>
      </c>
    </row>
    <row r="156">
      <c r="B156" s="6" t="s">
        <v>192</v>
      </c>
      <c r="C156" s="6" t="s">
        <v>14</v>
      </c>
      <c r="D156" s="6" t="s">
        <v>39</v>
      </c>
      <c r="E156" s="6" t="s">
        <v>32</v>
      </c>
      <c r="F156" s="6" t="s">
        <v>28</v>
      </c>
      <c r="G156" s="6" t="s">
        <v>18</v>
      </c>
      <c r="H156" s="7">
        <v>45077.0</v>
      </c>
      <c r="I156" s="8">
        <v>173.0</v>
      </c>
      <c r="J156" s="8">
        <v>385.42</v>
      </c>
      <c r="K156" s="8">
        <v>396.65</v>
      </c>
      <c r="L156" s="3">
        <f t="shared" si="1"/>
        <v>-1942.79</v>
      </c>
    </row>
    <row r="157">
      <c r="B157" s="6" t="s">
        <v>193</v>
      </c>
      <c r="C157" s="6" t="s">
        <v>14</v>
      </c>
      <c r="D157" s="6" t="s">
        <v>15</v>
      </c>
      <c r="E157" s="6" t="s">
        <v>32</v>
      </c>
      <c r="F157" s="6" t="s">
        <v>17</v>
      </c>
      <c r="G157" s="6" t="s">
        <v>18</v>
      </c>
      <c r="H157" s="7">
        <v>45078.0</v>
      </c>
      <c r="I157" s="8">
        <v>260.0</v>
      </c>
      <c r="J157" s="8">
        <v>60.99</v>
      </c>
      <c r="K157" s="8">
        <v>388.36</v>
      </c>
      <c r="L157" s="3">
        <f t="shared" si="1"/>
        <v>-85116.2</v>
      </c>
    </row>
    <row r="158">
      <c r="B158" s="6" t="s">
        <v>194</v>
      </c>
      <c r="C158" s="6" t="s">
        <v>26</v>
      </c>
      <c r="D158" s="6" t="s">
        <v>63</v>
      </c>
      <c r="E158" s="6" t="s">
        <v>32</v>
      </c>
      <c r="F158" s="6" t="s">
        <v>28</v>
      </c>
      <c r="G158" s="6" t="s">
        <v>18</v>
      </c>
      <c r="H158" s="7">
        <v>45079.0</v>
      </c>
      <c r="I158" s="8">
        <v>236.0</v>
      </c>
      <c r="J158" s="8">
        <v>398.78</v>
      </c>
      <c r="K158" s="8">
        <v>377.04</v>
      </c>
      <c r="L158" s="3">
        <f t="shared" si="1"/>
        <v>5130.64</v>
      </c>
    </row>
    <row r="159">
      <c r="B159" s="6" t="s">
        <v>195</v>
      </c>
      <c r="C159" s="6" t="s">
        <v>14</v>
      </c>
      <c r="D159" s="6" t="s">
        <v>31</v>
      </c>
      <c r="E159" s="6" t="s">
        <v>27</v>
      </c>
      <c r="F159" s="6" t="s">
        <v>17</v>
      </c>
      <c r="G159" s="6" t="s">
        <v>33</v>
      </c>
      <c r="H159" s="7">
        <v>45080.0</v>
      </c>
      <c r="I159" s="8">
        <v>445.0</v>
      </c>
      <c r="J159" s="8">
        <v>459.75</v>
      </c>
      <c r="K159" s="8">
        <v>313.97</v>
      </c>
      <c r="L159" s="3">
        <f t="shared" si="1"/>
        <v>64872.1</v>
      </c>
    </row>
    <row r="160">
      <c r="B160" s="6" t="s">
        <v>196</v>
      </c>
      <c r="C160" s="6" t="s">
        <v>26</v>
      </c>
      <c r="D160" s="6" t="s">
        <v>15</v>
      </c>
      <c r="E160" s="6" t="s">
        <v>27</v>
      </c>
      <c r="F160" s="6" t="s">
        <v>28</v>
      </c>
      <c r="G160" s="6" t="s">
        <v>18</v>
      </c>
      <c r="H160" s="7">
        <v>45081.0</v>
      </c>
      <c r="I160" s="8">
        <v>390.0</v>
      </c>
      <c r="J160" s="8">
        <v>302.3</v>
      </c>
      <c r="K160" s="8">
        <v>143.23</v>
      </c>
      <c r="L160" s="3">
        <f t="shared" si="1"/>
        <v>62037.3</v>
      </c>
    </row>
    <row r="161">
      <c r="B161" s="6" t="s">
        <v>197</v>
      </c>
      <c r="C161" s="6" t="s">
        <v>61</v>
      </c>
      <c r="D161" s="6" t="s">
        <v>31</v>
      </c>
      <c r="E161" s="6" t="s">
        <v>32</v>
      </c>
      <c r="F161" s="6" t="s">
        <v>17</v>
      </c>
      <c r="G161" s="6" t="s">
        <v>23</v>
      </c>
      <c r="H161" s="7">
        <v>45082.0</v>
      </c>
      <c r="I161" s="8">
        <v>469.0</v>
      </c>
      <c r="J161" s="8">
        <v>470.73</v>
      </c>
      <c r="K161" s="8">
        <v>166.03</v>
      </c>
      <c r="L161" s="3">
        <f t="shared" si="1"/>
        <v>142904.3</v>
      </c>
    </row>
    <row r="162">
      <c r="B162" s="6" t="s">
        <v>198</v>
      </c>
      <c r="C162" s="6" t="s">
        <v>14</v>
      </c>
      <c r="D162" s="6" t="s">
        <v>39</v>
      </c>
      <c r="E162" s="6" t="s">
        <v>22</v>
      </c>
      <c r="F162" s="6" t="s">
        <v>17</v>
      </c>
      <c r="G162" s="6" t="s">
        <v>18</v>
      </c>
      <c r="H162" s="7">
        <v>45083.0</v>
      </c>
      <c r="I162" s="8">
        <v>16.0</v>
      </c>
      <c r="J162" s="6"/>
      <c r="K162" s="8">
        <v>220.75</v>
      </c>
      <c r="L162" s="3">
        <f t="shared" si="1"/>
        <v>-3532</v>
      </c>
    </row>
    <row r="163">
      <c r="B163" s="6" t="s">
        <v>199</v>
      </c>
      <c r="C163" s="6" t="s">
        <v>61</v>
      </c>
      <c r="D163" s="6" t="s">
        <v>21</v>
      </c>
      <c r="E163" s="6" t="s">
        <v>55</v>
      </c>
      <c r="F163" s="6" t="s">
        <v>28</v>
      </c>
      <c r="G163" s="6" t="s">
        <v>23</v>
      </c>
      <c r="H163" s="7">
        <v>45084.0</v>
      </c>
      <c r="I163" s="8">
        <v>38.0</v>
      </c>
      <c r="J163" s="8">
        <v>335.15</v>
      </c>
      <c r="K163" s="8">
        <v>332.55</v>
      </c>
      <c r="L163" s="3">
        <f t="shared" si="1"/>
        <v>98.8</v>
      </c>
    </row>
    <row r="164">
      <c r="B164" s="6" t="s">
        <v>200</v>
      </c>
      <c r="C164" s="6" t="s">
        <v>26</v>
      </c>
      <c r="D164" s="6" t="s">
        <v>39</v>
      </c>
      <c r="E164" s="6"/>
      <c r="F164" s="6" t="s">
        <v>28</v>
      </c>
      <c r="G164" s="6" t="s">
        <v>33</v>
      </c>
      <c r="H164" s="7">
        <v>45085.0</v>
      </c>
      <c r="I164" s="8">
        <v>404.0</v>
      </c>
      <c r="J164" s="8">
        <v>290.71</v>
      </c>
      <c r="K164" s="8">
        <v>29.35</v>
      </c>
      <c r="L164" s="3">
        <f t="shared" si="1"/>
        <v>105589.44</v>
      </c>
    </row>
    <row r="165">
      <c r="B165" s="6" t="s">
        <v>201</v>
      </c>
      <c r="C165" s="6" t="s">
        <v>20</v>
      </c>
      <c r="D165" s="6" t="s">
        <v>15</v>
      </c>
      <c r="E165" s="6" t="s">
        <v>22</v>
      </c>
      <c r="F165" s="6" t="s">
        <v>17</v>
      </c>
      <c r="G165" s="6" t="s">
        <v>23</v>
      </c>
      <c r="H165" s="7">
        <v>45086.0</v>
      </c>
      <c r="I165" s="8">
        <v>42.0</v>
      </c>
      <c r="J165" s="8">
        <v>177.54</v>
      </c>
      <c r="K165" s="8">
        <v>170.87</v>
      </c>
      <c r="L165" s="3">
        <f t="shared" si="1"/>
        <v>280.14</v>
      </c>
    </row>
    <row r="166">
      <c r="B166" s="6" t="s">
        <v>202</v>
      </c>
      <c r="C166" s="6" t="s">
        <v>14</v>
      </c>
      <c r="D166" s="6" t="s">
        <v>31</v>
      </c>
      <c r="E166" s="6" t="s">
        <v>32</v>
      </c>
      <c r="F166" s="6" t="s">
        <v>28</v>
      </c>
      <c r="G166" s="6" t="s">
        <v>23</v>
      </c>
      <c r="H166" s="7">
        <v>45087.0</v>
      </c>
      <c r="I166" s="8">
        <v>143.0</v>
      </c>
      <c r="J166" s="8">
        <v>83.85</v>
      </c>
      <c r="K166" s="8">
        <v>34.88</v>
      </c>
      <c r="L166" s="3">
        <f t="shared" si="1"/>
        <v>7002.71</v>
      </c>
    </row>
    <row r="167">
      <c r="B167" s="6" t="s">
        <v>203</v>
      </c>
      <c r="C167" s="6" t="s">
        <v>26</v>
      </c>
      <c r="D167" s="6" t="s">
        <v>31</v>
      </c>
      <c r="E167" s="6" t="s">
        <v>27</v>
      </c>
      <c r="F167" s="6" t="s">
        <v>17</v>
      </c>
      <c r="G167" s="6" t="s">
        <v>18</v>
      </c>
      <c r="H167" s="7">
        <v>45088.0</v>
      </c>
      <c r="I167" s="8">
        <v>376.0</v>
      </c>
      <c r="J167" s="8">
        <v>304.45</v>
      </c>
      <c r="K167" s="8">
        <v>206.83</v>
      </c>
      <c r="L167" s="3">
        <f t="shared" si="1"/>
        <v>36705.12</v>
      </c>
    </row>
    <row r="168">
      <c r="B168" s="6" t="s">
        <v>204</v>
      </c>
      <c r="C168" s="6" t="s">
        <v>20</v>
      </c>
      <c r="D168" s="6" t="s">
        <v>63</v>
      </c>
      <c r="E168" s="6" t="s">
        <v>55</v>
      </c>
      <c r="F168" s="6" t="s">
        <v>17</v>
      </c>
      <c r="G168" s="6" t="s">
        <v>18</v>
      </c>
      <c r="H168" s="7">
        <v>45089.0</v>
      </c>
      <c r="I168" s="8">
        <v>88.0</v>
      </c>
      <c r="J168" s="8">
        <v>162.47</v>
      </c>
      <c r="K168" s="8">
        <v>359.76</v>
      </c>
      <c r="L168" s="3">
        <f t="shared" si="1"/>
        <v>-17361.52</v>
      </c>
    </row>
    <row r="169">
      <c r="B169" s="6" t="s">
        <v>205</v>
      </c>
      <c r="C169" s="6" t="s">
        <v>20</v>
      </c>
      <c r="D169" s="6" t="s">
        <v>31</v>
      </c>
      <c r="E169" s="6" t="s">
        <v>16</v>
      </c>
      <c r="F169" s="6" t="s">
        <v>17</v>
      </c>
      <c r="G169" s="6" t="s">
        <v>23</v>
      </c>
      <c r="H169" s="7">
        <v>45090.0</v>
      </c>
      <c r="I169" s="8">
        <v>425.0</v>
      </c>
      <c r="J169" s="8">
        <v>433.89</v>
      </c>
      <c r="K169" s="8">
        <v>313.43</v>
      </c>
      <c r="L169" s="3">
        <f t="shared" si="1"/>
        <v>51195.5</v>
      </c>
    </row>
    <row r="170">
      <c r="B170" s="6" t="s">
        <v>206</v>
      </c>
      <c r="C170" s="6" t="s">
        <v>61</v>
      </c>
      <c r="D170" s="6" t="s">
        <v>63</v>
      </c>
      <c r="E170" s="6" t="s">
        <v>16</v>
      </c>
      <c r="F170" s="6" t="s">
        <v>28</v>
      </c>
      <c r="G170" s="6" t="s">
        <v>18</v>
      </c>
      <c r="H170" s="7">
        <v>45091.0</v>
      </c>
      <c r="I170" s="8">
        <v>444.0</v>
      </c>
      <c r="J170" s="8">
        <v>496.7</v>
      </c>
      <c r="K170" s="8">
        <v>92.68</v>
      </c>
      <c r="L170" s="3">
        <f t="shared" si="1"/>
        <v>179384.88</v>
      </c>
    </row>
    <row r="171">
      <c r="B171" s="6" t="s">
        <v>207</v>
      </c>
      <c r="C171" s="6" t="s">
        <v>26</v>
      </c>
      <c r="D171" s="6" t="s">
        <v>21</v>
      </c>
      <c r="E171" s="6" t="s">
        <v>22</v>
      </c>
      <c r="F171" s="6" t="s">
        <v>17</v>
      </c>
      <c r="G171" s="6" t="s">
        <v>33</v>
      </c>
      <c r="H171" s="7">
        <v>45092.0</v>
      </c>
      <c r="I171" s="8">
        <v>468.0</v>
      </c>
      <c r="J171" s="8">
        <v>377.45</v>
      </c>
      <c r="K171" s="8">
        <v>390.44</v>
      </c>
      <c r="L171" s="3">
        <f t="shared" si="1"/>
        <v>-6079.32</v>
      </c>
    </row>
    <row r="172">
      <c r="B172" s="6" t="s">
        <v>208</v>
      </c>
      <c r="C172" s="6" t="s">
        <v>20</v>
      </c>
      <c r="D172" s="6" t="s">
        <v>15</v>
      </c>
      <c r="E172" s="6" t="s">
        <v>32</v>
      </c>
      <c r="F172" s="6" t="s">
        <v>17</v>
      </c>
      <c r="G172" s="6" t="s">
        <v>33</v>
      </c>
      <c r="H172" s="7">
        <v>45093.0</v>
      </c>
      <c r="I172" s="8">
        <v>67.0</v>
      </c>
      <c r="J172" s="8">
        <v>49.79</v>
      </c>
      <c r="K172" s="8">
        <v>267.61</v>
      </c>
      <c r="L172" s="3">
        <f t="shared" si="1"/>
        <v>-14593.94</v>
      </c>
    </row>
    <row r="173">
      <c r="B173" s="6" t="s">
        <v>209</v>
      </c>
      <c r="C173" s="6" t="s">
        <v>14</v>
      </c>
      <c r="D173" s="6" t="s">
        <v>63</v>
      </c>
      <c r="E173" s="6" t="s">
        <v>55</v>
      </c>
      <c r="F173" s="6" t="s">
        <v>28</v>
      </c>
      <c r="G173" s="6" t="s">
        <v>18</v>
      </c>
      <c r="H173" s="7">
        <v>45094.0</v>
      </c>
      <c r="I173" s="8">
        <v>480.0</v>
      </c>
      <c r="J173" s="8">
        <v>147.9</v>
      </c>
      <c r="K173" s="8">
        <v>6.15</v>
      </c>
      <c r="L173" s="3">
        <f t="shared" si="1"/>
        <v>68040</v>
      </c>
    </row>
    <row r="174">
      <c r="B174" s="6" t="s">
        <v>210</v>
      </c>
      <c r="C174" s="6" t="s">
        <v>14</v>
      </c>
      <c r="D174" s="6" t="s">
        <v>21</v>
      </c>
      <c r="E174" s="6" t="s">
        <v>32</v>
      </c>
      <c r="F174" s="6" t="s">
        <v>28</v>
      </c>
      <c r="G174" s="6" t="s">
        <v>33</v>
      </c>
      <c r="H174" s="7">
        <v>45095.0</v>
      </c>
      <c r="I174" s="8">
        <v>35.0</v>
      </c>
      <c r="J174" s="8">
        <v>59.01</v>
      </c>
      <c r="K174" s="8">
        <v>103.65</v>
      </c>
      <c r="L174" s="3">
        <f t="shared" si="1"/>
        <v>-1562.4</v>
      </c>
    </row>
    <row r="175">
      <c r="B175" s="6" t="s">
        <v>211</v>
      </c>
      <c r="C175" s="6" t="s">
        <v>61</v>
      </c>
      <c r="D175" s="6" t="s">
        <v>31</v>
      </c>
      <c r="E175" s="6" t="s">
        <v>55</v>
      </c>
      <c r="F175" s="6" t="s">
        <v>28</v>
      </c>
      <c r="G175" s="6" t="s">
        <v>18</v>
      </c>
      <c r="H175" s="7">
        <v>45096.0</v>
      </c>
      <c r="I175" s="8">
        <v>491.0</v>
      </c>
      <c r="J175" s="8">
        <v>327.0</v>
      </c>
      <c r="K175" s="8">
        <v>105.76</v>
      </c>
      <c r="L175" s="3">
        <f t="shared" si="1"/>
        <v>108628.84</v>
      </c>
    </row>
    <row r="176">
      <c r="B176" s="6" t="s">
        <v>212</v>
      </c>
      <c r="C176" s="6" t="s">
        <v>20</v>
      </c>
      <c r="D176" s="6" t="s">
        <v>31</v>
      </c>
      <c r="E176" s="6" t="s">
        <v>22</v>
      </c>
      <c r="F176" s="6" t="s">
        <v>28</v>
      </c>
      <c r="G176" s="6" t="s">
        <v>23</v>
      </c>
      <c r="H176" s="7">
        <v>45097.0</v>
      </c>
      <c r="I176" s="8">
        <v>439.0</v>
      </c>
      <c r="J176" s="8">
        <v>383.77</v>
      </c>
      <c r="K176" s="8">
        <v>29.56</v>
      </c>
      <c r="L176" s="3">
        <f t="shared" si="1"/>
        <v>155498.19</v>
      </c>
    </row>
    <row r="177">
      <c r="B177" s="6" t="s">
        <v>213</v>
      </c>
      <c r="C177" s="6" t="s">
        <v>26</v>
      </c>
      <c r="D177" s="6" t="s">
        <v>21</v>
      </c>
      <c r="E177" s="6" t="s">
        <v>22</v>
      </c>
      <c r="F177" s="6" t="s">
        <v>17</v>
      </c>
      <c r="G177" s="6" t="s">
        <v>23</v>
      </c>
      <c r="H177" s="7">
        <v>45098.0</v>
      </c>
      <c r="I177" s="8">
        <v>235.0</v>
      </c>
      <c r="J177" s="8">
        <v>463.21</v>
      </c>
      <c r="K177" s="8">
        <v>384.01</v>
      </c>
      <c r="L177" s="3">
        <f t="shared" si="1"/>
        <v>18612</v>
      </c>
    </row>
    <row r="178">
      <c r="B178" s="6" t="s">
        <v>214</v>
      </c>
      <c r="C178" s="6" t="s">
        <v>14</v>
      </c>
      <c r="D178" s="6" t="s">
        <v>31</v>
      </c>
      <c r="E178" s="6" t="s">
        <v>16</v>
      </c>
      <c r="F178" s="6" t="s">
        <v>17</v>
      </c>
      <c r="G178" s="6" t="s">
        <v>33</v>
      </c>
      <c r="H178" s="7">
        <v>45099.0</v>
      </c>
      <c r="I178" s="8">
        <v>294.0</v>
      </c>
      <c r="J178" s="8">
        <v>221.9</v>
      </c>
      <c r="K178" s="8">
        <v>192.35</v>
      </c>
      <c r="L178" s="3">
        <f t="shared" si="1"/>
        <v>8687.7</v>
      </c>
    </row>
    <row r="179">
      <c r="B179" s="6" t="s">
        <v>215</v>
      </c>
      <c r="C179" s="6" t="s">
        <v>20</v>
      </c>
      <c r="D179" s="6" t="s">
        <v>21</v>
      </c>
      <c r="E179" s="6" t="s">
        <v>32</v>
      </c>
      <c r="F179" s="6" t="s">
        <v>17</v>
      </c>
      <c r="G179" s="6" t="s">
        <v>18</v>
      </c>
      <c r="H179" s="7">
        <v>45100.0</v>
      </c>
      <c r="I179" s="8">
        <v>13.0</v>
      </c>
      <c r="J179" s="8">
        <v>451.18</v>
      </c>
      <c r="K179" s="8">
        <v>358.53</v>
      </c>
      <c r="L179" s="3">
        <f t="shared" si="1"/>
        <v>1204.45</v>
      </c>
    </row>
    <row r="180">
      <c r="B180" s="6" t="s">
        <v>216</v>
      </c>
      <c r="C180" s="6" t="s">
        <v>20</v>
      </c>
      <c r="D180" s="6" t="s">
        <v>63</v>
      </c>
      <c r="E180" s="6" t="s">
        <v>16</v>
      </c>
      <c r="F180" s="6" t="s">
        <v>17</v>
      </c>
      <c r="G180" s="6" t="s">
        <v>18</v>
      </c>
      <c r="H180" s="7">
        <v>45101.0</v>
      </c>
      <c r="I180" s="8">
        <v>474.0</v>
      </c>
      <c r="J180" s="8">
        <v>439.56</v>
      </c>
      <c r="K180" s="8">
        <v>130.24</v>
      </c>
      <c r="L180" s="3">
        <f t="shared" si="1"/>
        <v>146617.68</v>
      </c>
    </row>
    <row r="181">
      <c r="B181" s="6" t="s">
        <v>217</v>
      </c>
      <c r="C181" s="6" t="s">
        <v>61</v>
      </c>
      <c r="D181" s="6" t="s">
        <v>63</v>
      </c>
      <c r="E181" s="6" t="s">
        <v>32</v>
      </c>
      <c r="F181" s="6" t="s">
        <v>28</v>
      </c>
      <c r="G181" s="6" t="s">
        <v>33</v>
      </c>
      <c r="H181" s="7">
        <v>45102.0</v>
      </c>
      <c r="I181" s="8">
        <v>108.0</v>
      </c>
      <c r="J181" s="8">
        <v>162.01</v>
      </c>
      <c r="K181" s="8">
        <v>51.84</v>
      </c>
      <c r="L181" s="3">
        <f t="shared" si="1"/>
        <v>11898.36</v>
      </c>
    </row>
    <row r="182">
      <c r="B182" s="6" t="s">
        <v>218</v>
      </c>
      <c r="C182" s="6" t="s">
        <v>14</v>
      </c>
      <c r="D182" s="6" t="s">
        <v>21</v>
      </c>
      <c r="E182" s="6" t="s">
        <v>16</v>
      </c>
      <c r="F182" s="6" t="s">
        <v>17</v>
      </c>
      <c r="G182" s="6" t="s">
        <v>23</v>
      </c>
      <c r="H182" s="7">
        <v>45103.0</v>
      </c>
      <c r="I182" s="8">
        <v>406.0</v>
      </c>
      <c r="J182" s="8">
        <v>435.11</v>
      </c>
      <c r="K182" s="8">
        <v>190.79</v>
      </c>
      <c r="L182" s="3">
        <f t="shared" si="1"/>
        <v>99193.92</v>
      </c>
    </row>
    <row r="183">
      <c r="B183" s="6" t="s">
        <v>219</v>
      </c>
      <c r="C183" s="6" t="s">
        <v>14</v>
      </c>
      <c r="D183" s="6" t="s">
        <v>63</v>
      </c>
      <c r="E183" s="6" t="s">
        <v>27</v>
      </c>
      <c r="F183" s="6" t="s">
        <v>17</v>
      </c>
      <c r="G183" s="6" t="s">
        <v>33</v>
      </c>
      <c r="H183" s="7">
        <v>45104.0</v>
      </c>
      <c r="I183" s="8">
        <v>498.0</v>
      </c>
      <c r="J183" s="8">
        <v>190.96</v>
      </c>
      <c r="K183" s="8">
        <v>47.35</v>
      </c>
      <c r="L183" s="3">
        <f t="shared" si="1"/>
        <v>71517.78</v>
      </c>
    </row>
    <row r="184">
      <c r="B184" s="6" t="s">
        <v>220</v>
      </c>
      <c r="C184" s="6" t="s">
        <v>26</v>
      </c>
      <c r="D184" s="6" t="s">
        <v>63</v>
      </c>
      <c r="E184" s="6" t="s">
        <v>27</v>
      </c>
      <c r="F184" s="6" t="s">
        <v>28</v>
      </c>
      <c r="G184" s="6" t="s">
        <v>23</v>
      </c>
      <c r="H184" s="7">
        <v>45105.0</v>
      </c>
      <c r="I184" s="8">
        <v>48.0</v>
      </c>
      <c r="J184" s="8">
        <v>151.95</v>
      </c>
      <c r="K184" s="8">
        <v>195.43</v>
      </c>
      <c r="L184" s="3">
        <f t="shared" si="1"/>
        <v>-2087.04</v>
      </c>
    </row>
    <row r="185">
      <c r="B185" s="6" t="s">
        <v>221</v>
      </c>
      <c r="C185" s="6" t="s">
        <v>14</v>
      </c>
      <c r="D185" s="6" t="s">
        <v>63</v>
      </c>
      <c r="E185" s="6" t="s">
        <v>27</v>
      </c>
      <c r="F185" s="6" t="s">
        <v>17</v>
      </c>
      <c r="G185" s="6" t="s">
        <v>18</v>
      </c>
      <c r="H185" s="7">
        <v>45106.0</v>
      </c>
      <c r="I185" s="8">
        <v>280.0</v>
      </c>
      <c r="J185" s="8">
        <v>326.29</v>
      </c>
      <c r="K185" s="8">
        <v>368.28</v>
      </c>
      <c r="L185" s="3">
        <f t="shared" si="1"/>
        <v>-11757.2</v>
      </c>
    </row>
    <row r="186">
      <c r="B186" s="6" t="s">
        <v>222</v>
      </c>
      <c r="C186" s="6" t="s">
        <v>26</v>
      </c>
      <c r="D186" s="6" t="s">
        <v>39</v>
      </c>
      <c r="E186" s="6" t="s">
        <v>27</v>
      </c>
      <c r="F186" s="6" t="s">
        <v>17</v>
      </c>
      <c r="G186" s="6" t="s">
        <v>23</v>
      </c>
      <c r="H186" s="7">
        <v>45107.0</v>
      </c>
      <c r="I186" s="8">
        <v>384.0</v>
      </c>
      <c r="J186" s="8">
        <v>167.55</v>
      </c>
      <c r="K186" s="8">
        <v>209.27</v>
      </c>
      <c r="L186" s="3">
        <f t="shared" si="1"/>
        <v>-16020.48</v>
      </c>
    </row>
    <row r="187">
      <c r="B187" s="6" t="s">
        <v>223</v>
      </c>
      <c r="C187" s="6" t="s">
        <v>14</v>
      </c>
      <c r="D187" s="6" t="s">
        <v>15</v>
      </c>
      <c r="E187" s="6" t="s">
        <v>55</v>
      </c>
      <c r="F187" s="6" t="s">
        <v>17</v>
      </c>
      <c r="G187" s="6" t="s">
        <v>33</v>
      </c>
      <c r="H187" s="7">
        <v>45108.0</v>
      </c>
      <c r="I187" s="8">
        <v>294.0</v>
      </c>
      <c r="J187" s="8">
        <v>316.95</v>
      </c>
      <c r="K187" s="8">
        <v>247.37</v>
      </c>
      <c r="L187" s="3">
        <f t="shared" si="1"/>
        <v>20456.52</v>
      </c>
    </row>
    <row r="188">
      <c r="B188" s="6" t="s">
        <v>224</v>
      </c>
      <c r="C188" s="6" t="s">
        <v>61</v>
      </c>
      <c r="D188" s="6" t="s">
        <v>31</v>
      </c>
      <c r="E188" s="6" t="s">
        <v>27</v>
      </c>
      <c r="F188" s="6" t="s">
        <v>17</v>
      </c>
      <c r="G188" s="6" t="s">
        <v>18</v>
      </c>
      <c r="H188" s="7">
        <v>45109.0</v>
      </c>
      <c r="I188" s="8">
        <v>166.0</v>
      </c>
      <c r="J188" s="8">
        <v>306.87</v>
      </c>
      <c r="K188" s="8">
        <v>64.34</v>
      </c>
      <c r="L188" s="3">
        <f t="shared" si="1"/>
        <v>40259.98</v>
      </c>
    </row>
    <row r="189">
      <c r="B189" s="6" t="s">
        <v>225</v>
      </c>
      <c r="C189" s="6" t="s">
        <v>14</v>
      </c>
      <c r="D189" s="6" t="s">
        <v>39</v>
      </c>
      <c r="E189" s="6" t="s">
        <v>22</v>
      </c>
      <c r="F189" s="6" t="s">
        <v>17</v>
      </c>
      <c r="G189" s="6" t="s">
        <v>33</v>
      </c>
      <c r="H189" s="7">
        <v>45110.0</v>
      </c>
      <c r="I189" s="8">
        <v>84.0</v>
      </c>
      <c r="J189" s="8">
        <v>283.9</v>
      </c>
      <c r="K189" s="8">
        <v>19.41</v>
      </c>
      <c r="L189" s="3">
        <f t="shared" si="1"/>
        <v>22217.16</v>
      </c>
    </row>
    <row r="190">
      <c r="B190" s="6" t="s">
        <v>226</v>
      </c>
      <c r="C190" s="6" t="s">
        <v>26</v>
      </c>
      <c r="D190" s="6" t="s">
        <v>63</v>
      </c>
      <c r="E190" s="6" t="s">
        <v>22</v>
      </c>
      <c r="F190" s="6" t="s">
        <v>17</v>
      </c>
      <c r="G190" s="6" t="s">
        <v>33</v>
      </c>
      <c r="H190" s="7">
        <v>45111.0</v>
      </c>
      <c r="I190" s="8">
        <v>381.0</v>
      </c>
      <c r="J190" s="8">
        <v>193.31</v>
      </c>
      <c r="K190" s="8">
        <v>46.1</v>
      </c>
      <c r="L190" s="3">
        <f t="shared" si="1"/>
        <v>56087.01</v>
      </c>
    </row>
    <row r="191">
      <c r="B191" s="6" t="s">
        <v>227</v>
      </c>
      <c r="C191" s="6" t="s">
        <v>26</v>
      </c>
      <c r="D191" s="6" t="s">
        <v>21</v>
      </c>
      <c r="E191" s="6" t="s">
        <v>55</v>
      </c>
      <c r="F191" s="6" t="s">
        <v>28</v>
      </c>
      <c r="G191" s="6" t="s">
        <v>23</v>
      </c>
      <c r="H191" s="7">
        <v>45112.0</v>
      </c>
      <c r="I191" s="8">
        <v>297.0</v>
      </c>
      <c r="J191" s="8">
        <v>276.51</v>
      </c>
      <c r="K191" s="8">
        <v>240.22</v>
      </c>
      <c r="L191" s="3">
        <f t="shared" si="1"/>
        <v>10778.13</v>
      </c>
    </row>
    <row r="192">
      <c r="B192" s="6" t="s">
        <v>228</v>
      </c>
      <c r="C192" s="6" t="s">
        <v>61</v>
      </c>
      <c r="D192" s="6" t="s">
        <v>63</v>
      </c>
      <c r="E192" s="6" t="s">
        <v>27</v>
      </c>
      <c r="F192" s="6" t="s">
        <v>28</v>
      </c>
      <c r="G192" s="6" t="s">
        <v>33</v>
      </c>
      <c r="H192" s="7">
        <v>45113.0</v>
      </c>
      <c r="I192" s="8">
        <v>139.0</v>
      </c>
      <c r="J192" s="8">
        <v>300.26</v>
      </c>
      <c r="K192" s="8">
        <v>39.81</v>
      </c>
      <c r="L192" s="3">
        <f t="shared" si="1"/>
        <v>36202.55</v>
      </c>
    </row>
    <row r="193">
      <c r="B193" s="6" t="s">
        <v>229</v>
      </c>
      <c r="C193" s="6" t="s">
        <v>14</v>
      </c>
      <c r="D193" s="6" t="s">
        <v>15</v>
      </c>
      <c r="E193" s="6" t="s">
        <v>27</v>
      </c>
      <c r="F193" s="6" t="s">
        <v>17</v>
      </c>
      <c r="G193" s="6" t="s">
        <v>23</v>
      </c>
      <c r="H193" s="7">
        <v>45114.0</v>
      </c>
      <c r="I193" s="8">
        <v>184.0</v>
      </c>
      <c r="J193" s="8">
        <v>275.12</v>
      </c>
      <c r="K193" s="8">
        <v>151.65</v>
      </c>
      <c r="L193" s="3">
        <f t="shared" si="1"/>
        <v>22718.48</v>
      </c>
    </row>
    <row r="194">
      <c r="B194" s="6" t="s">
        <v>230</v>
      </c>
      <c r="C194" s="6" t="s">
        <v>14</v>
      </c>
      <c r="D194" s="6" t="s">
        <v>63</v>
      </c>
      <c r="E194" s="6" t="s">
        <v>27</v>
      </c>
      <c r="F194" s="6" t="s">
        <v>17</v>
      </c>
      <c r="G194" s="6" t="s">
        <v>18</v>
      </c>
      <c r="H194" s="7">
        <v>45115.0</v>
      </c>
      <c r="I194" s="8">
        <v>471.0</v>
      </c>
      <c r="J194" s="8">
        <v>224.99</v>
      </c>
      <c r="K194" s="8">
        <v>220.94</v>
      </c>
      <c r="L194" s="3">
        <f t="shared" si="1"/>
        <v>1907.55</v>
      </c>
    </row>
    <row r="195">
      <c r="B195" s="6" t="s">
        <v>231</v>
      </c>
      <c r="C195" s="6" t="s">
        <v>61</v>
      </c>
      <c r="D195" s="6" t="s">
        <v>21</v>
      </c>
      <c r="E195" s="6" t="s">
        <v>16</v>
      </c>
      <c r="F195" s="6" t="s">
        <v>28</v>
      </c>
      <c r="G195" s="6" t="s">
        <v>23</v>
      </c>
      <c r="H195" s="7">
        <v>45116.0</v>
      </c>
      <c r="I195" s="8">
        <v>93.0</v>
      </c>
      <c r="J195" s="8">
        <v>12.26</v>
      </c>
      <c r="K195" s="8">
        <v>156.68</v>
      </c>
      <c r="L195" s="3">
        <f t="shared" si="1"/>
        <v>-13431.06</v>
      </c>
    </row>
    <row r="196">
      <c r="B196" s="6" t="s">
        <v>232</v>
      </c>
      <c r="C196" s="6" t="s">
        <v>14</v>
      </c>
      <c r="D196" s="6" t="s">
        <v>15</v>
      </c>
      <c r="E196" s="6" t="s">
        <v>32</v>
      </c>
      <c r="F196" s="6" t="s">
        <v>17</v>
      </c>
      <c r="G196" s="6" t="s">
        <v>18</v>
      </c>
      <c r="H196" s="7">
        <v>45117.0</v>
      </c>
      <c r="I196" s="8">
        <v>31.0</v>
      </c>
      <c r="J196" s="8">
        <v>295.6</v>
      </c>
      <c r="K196" s="8">
        <v>67.15</v>
      </c>
      <c r="L196" s="3">
        <f t="shared" si="1"/>
        <v>7081.95</v>
      </c>
    </row>
    <row r="197">
      <c r="B197" s="6" t="s">
        <v>233</v>
      </c>
      <c r="C197" s="6" t="s">
        <v>14</v>
      </c>
      <c r="D197" s="6" t="s">
        <v>63</v>
      </c>
      <c r="E197" s="6" t="s">
        <v>16</v>
      </c>
      <c r="F197" s="6" t="s">
        <v>17</v>
      </c>
      <c r="G197" s="6" t="s">
        <v>23</v>
      </c>
      <c r="H197" s="7">
        <v>45118.0</v>
      </c>
      <c r="I197" s="8">
        <v>468.0</v>
      </c>
      <c r="J197" s="8">
        <v>88.38</v>
      </c>
      <c r="K197" s="8">
        <v>110.97</v>
      </c>
      <c r="L197" s="3">
        <f t="shared" si="1"/>
        <v>-10572.12</v>
      </c>
    </row>
    <row r="198">
      <c r="B198" s="6" t="s">
        <v>234</v>
      </c>
      <c r="C198" s="6" t="s">
        <v>26</v>
      </c>
      <c r="D198" s="6" t="s">
        <v>15</v>
      </c>
      <c r="E198" s="6" t="s">
        <v>32</v>
      </c>
      <c r="F198" s="6" t="s">
        <v>17</v>
      </c>
      <c r="G198" s="6" t="s">
        <v>33</v>
      </c>
      <c r="H198" s="7">
        <v>45119.0</v>
      </c>
      <c r="I198" s="8">
        <v>36.0</v>
      </c>
      <c r="J198" s="8">
        <v>323.08</v>
      </c>
      <c r="K198" s="8">
        <v>371.47</v>
      </c>
      <c r="L198" s="3">
        <f t="shared" si="1"/>
        <v>-1742.04</v>
      </c>
    </row>
    <row r="199">
      <c r="B199" s="6" t="s">
        <v>235</v>
      </c>
      <c r="C199" s="6" t="s">
        <v>14</v>
      </c>
      <c r="D199" s="6" t="s">
        <v>31</v>
      </c>
      <c r="E199" s="6" t="s">
        <v>27</v>
      </c>
      <c r="F199" s="6" t="s">
        <v>28</v>
      </c>
      <c r="G199" s="6" t="s">
        <v>23</v>
      </c>
      <c r="H199" s="7">
        <v>45120.0</v>
      </c>
      <c r="I199" s="8">
        <v>204.0</v>
      </c>
      <c r="J199" s="8">
        <v>380.88</v>
      </c>
      <c r="K199" s="8">
        <v>271.04</v>
      </c>
      <c r="L199" s="3">
        <f t="shared" si="1"/>
        <v>22407.36</v>
      </c>
    </row>
    <row r="200">
      <c r="B200" s="6" t="s">
        <v>236</v>
      </c>
      <c r="C200" s="6" t="s">
        <v>14</v>
      </c>
      <c r="D200" s="6" t="s">
        <v>31</v>
      </c>
      <c r="E200" s="6" t="s">
        <v>27</v>
      </c>
      <c r="F200" s="6" t="s">
        <v>17</v>
      </c>
      <c r="G200" s="6" t="s">
        <v>23</v>
      </c>
      <c r="H200" s="7">
        <v>45121.0</v>
      </c>
      <c r="I200" s="8">
        <v>346.0</v>
      </c>
      <c r="J200" s="8">
        <v>252.72</v>
      </c>
      <c r="K200" s="8">
        <v>199.43</v>
      </c>
      <c r="L200" s="3">
        <f t="shared" si="1"/>
        <v>18438.34</v>
      </c>
    </row>
    <row r="201">
      <c r="B201" s="6" t="s">
        <v>237</v>
      </c>
      <c r="C201" s="6" t="s">
        <v>61</v>
      </c>
      <c r="D201" s="6" t="s">
        <v>63</v>
      </c>
      <c r="E201" s="6" t="s">
        <v>16</v>
      </c>
      <c r="F201" s="6" t="s">
        <v>28</v>
      </c>
      <c r="G201" s="6" t="s">
        <v>18</v>
      </c>
      <c r="H201" s="7">
        <v>45122.0</v>
      </c>
      <c r="I201" s="8">
        <v>391.0</v>
      </c>
      <c r="J201" s="8">
        <v>273.47</v>
      </c>
      <c r="K201" s="8">
        <v>7.06</v>
      </c>
      <c r="L201" s="3">
        <f t="shared" si="1"/>
        <v>104166.31</v>
      </c>
    </row>
    <row r="202">
      <c r="B202" s="6" t="s">
        <v>238</v>
      </c>
      <c r="C202" s="6" t="s">
        <v>61</v>
      </c>
      <c r="D202" s="6" t="s">
        <v>15</v>
      </c>
      <c r="E202" s="6" t="s">
        <v>16</v>
      </c>
      <c r="F202" s="6" t="s">
        <v>17</v>
      </c>
      <c r="G202" s="6" t="s">
        <v>33</v>
      </c>
      <c r="H202" s="7">
        <v>45123.0</v>
      </c>
      <c r="I202" s="8">
        <v>245.0</v>
      </c>
      <c r="J202" s="8">
        <v>475.98</v>
      </c>
      <c r="K202" s="8">
        <v>396.98</v>
      </c>
      <c r="L202" s="3">
        <f t="shared" si="1"/>
        <v>19355</v>
      </c>
    </row>
    <row r="203">
      <c r="B203" s="6" t="s">
        <v>239</v>
      </c>
      <c r="C203" s="6" t="s">
        <v>20</v>
      </c>
      <c r="D203" s="6" t="s">
        <v>21</v>
      </c>
      <c r="E203" s="6" t="s">
        <v>32</v>
      </c>
      <c r="F203" s="6" t="s">
        <v>28</v>
      </c>
      <c r="G203" s="6" t="s">
        <v>23</v>
      </c>
      <c r="H203" s="7">
        <v>45124.0</v>
      </c>
      <c r="I203" s="8">
        <v>449.0</v>
      </c>
      <c r="J203" s="8">
        <v>424.35</v>
      </c>
      <c r="K203" s="8">
        <v>269.24</v>
      </c>
      <c r="L203" s="3">
        <f t="shared" si="1"/>
        <v>69644.39</v>
      </c>
    </row>
    <row r="204">
      <c r="B204" s="6" t="s">
        <v>240</v>
      </c>
      <c r="C204" s="6" t="s">
        <v>26</v>
      </c>
      <c r="D204" s="6" t="s">
        <v>63</v>
      </c>
      <c r="E204" s="6" t="s">
        <v>22</v>
      </c>
      <c r="F204" s="6" t="s">
        <v>28</v>
      </c>
      <c r="G204" s="6" t="s">
        <v>33</v>
      </c>
      <c r="H204" s="7">
        <v>45125.0</v>
      </c>
      <c r="I204" s="8">
        <v>101.0</v>
      </c>
      <c r="J204" s="8">
        <v>457.55</v>
      </c>
      <c r="K204" s="8">
        <v>128.14</v>
      </c>
      <c r="L204" s="3">
        <f t="shared" si="1"/>
        <v>33270.41</v>
      </c>
    </row>
    <row r="205">
      <c r="B205" s="6" t="s">
        <v>241</v>
      </c>
      <c r="C205" s="6" t="s">
        <v>14</v>
      </c>
      <c r="D205" s="6" t="s">
        <v>31</v>
      </c>
      <c r="E205" s="6" t="s">
        <v>32</v>
      </c>
      <c r="F205" s="6" t="s">
        <v>17</v>
      </c>
      <c r="G205" s="6" t="s">
        <v>23</v>
      </c>
      <c r="H205" s="7">
        <v>45126.0</v>
      </c>
      <c r="I205" s="6"/>
      <c r="J205" s="8">
        <v>407.81</v>
      </c>
      <c r="K205" s="8">
        <v>351.95</v>
      </c>
      <c r="L205" s="3">
        <f t="shared" si="1"/>
        <v>0</v>
      </c>
    </row>
    <row r="206">
      <c r="B206" s="6" t="s">
        <v>242</v>
      </c>
      <c r="C206" s="6" t="s">
        <v>14</v>
      </c>
      <c r="D206" s="6" t="s">
        <v>31</v>
      </c>
      <c r="E206" s="6" t="s">
        <v>16</v>
      </c>
      <c r="F206" s="6" t="s">
        <v>28</v>
      </c>
      <c r="G206" s="6" t="s">
        <v>23</v>
      </c>
      <c r="H206" s="7">
        <v>45127.0</v>
      </c>
      <c r="I206" s="8">
        <v>30.0</v>
      </c>
      <c r="J206" s="8">
        <v>58.91</v>
      </c>
      <c r="K206" s="8">
        <v>104.86</v>
      </c>
      <c r="L206" s="3">
        <f t="shared" si="1"/>
        <v>-1378.5</v>
      </c>
    </row>
    <row r="207">
      <c r="B207" s="6" t="s">
        <v>243</v>
      </c>
      <c r="C207" s="6" t="s">
        <v>20</v>
      </c>
      <c r="D207" s="6" t="s">
        <v>63</v>
      </c>
      <c r="E207" s="6" t="s">
        <v>16</v>
      </c>
      <c r="F207" s="6" t="s">
        <v>17</v>
      </c>
      <c r="G207" s="6" t="s">
        <v>33</v>
      </c>
      <c r="H207" s="7">
        <v>45128.0</v>
      </c>
      <c r="I207" s="8">
        <v>312.0</v>
      </c>
      <c r="J207" s="8">
        <v>78.75</v>
      </c>
      <c r="K207" s="8">
        <v>218.52</v>
      </c>
      <c r="L207" s="3">
        <f t="shared" si="1"/>
        <v>-43608.24</v>
      </c>
    </row>
    <row r="208">
      <c r="B208" s="6" t="s">
        <v>244</v>
      </c>
      <c r="C208" s="6" t="s">
        <v>14</v>
      </c>
      <c r="D208" s="6" t="s">
        <v>15</v>
      </c>
      <c r="E208" s="6" t="s">
        <v>55</v>
      </c>
      <c r="F208" s="6" t="s">
        <v>28</v>
      </c>
      <c r="G208" s="6" t="s">
        <v>23</v>
      </c>
      <c r="H208" s="7">
        <v>45129.0</v>
      </c>
      <c r="I208" s="8">
        <v>473.0</v>
      </c>
      <c r="J208" s="8">
        <v>265.68</v>
      </c>
      <c r="K208" s="8">
        <v>255.16</v>
      </c>
      <c r="L208" s="3">
        <f t="shared" si="1"/>
        <v>4975.96</v>
      </c>
    </row>
    <row r="209">
      <c r="B209" s="6" t="s">
        <v>245</v>
      </c>
      <c r="C209" s="6" t="s">
        <v>26</v>
      </c>
      <c r="D209" s="6" t="s">
        <v>31</v>
      </c>
      <c r="E209" s="6" t="s">
        <v>16</v>
      </c>
      <c r="F209" s="6" t="s">
        <v>17</v>
      </c>
      <c r="G209" s="6" t="s">
        <v>33</v>
      </c>
      <c r="H209" s="7">
        <v>45130.0</v>
      </c>
      <c r="I209" s="8">
        <v>366.0</v>
      </c>
      <c r="J209" s="8">
        <v>126.8</v>
      </c>
      <c r="K209" s="8">
        <v>89.98</v>
      </c>
      <c r="L209" s="3">
        <f t="shared" si="1"/>
        <v>13476.12</v>
      </c>
    </row>
    <row r="210">
      <c r="B210" s="6" t="s">
        <v>246</v>
      </c>
      <c r="C210" s="6" t="s">
        <v>20</v>
      </c>
      <c r="D210" s="6" t="s">
        <v>15</v>
      </c>
      <c r="E210" s="6" t="s">
        <v>55</v>
      </c>
      <c r="F210" s="6" t="s">
        <v>17</v>
      </c>
      <c r="G210" s="6" t="s">
        <v>23</v>
      </c>
      <c r="H210" s="7">
        <v>45131.0</v>
      </c>
      <c r="I210" s="8">
        <v>452.0</v>
      </c>
      <c r="J210" s="8">
        <v>240.96</v>
      </c>
      <c r="K210" s="8">
        <v>391.4</v>
      </c>
      <c r="L210" s="3">
        <f t="shared" si="1"/>
        <v>-67998.88</v>
      </c>
    </row>
    <row r="211">
      <c r="B211" s="6" t="s">
        <v>247</v>
      </c>
      <c r="C211" s="6" t="s">
        <v>26</v>
      </c>
      <c r="D211" s="6" t="s">
        <v>31</v>
      </c>
      <c r="E211" s="6" t="s">
        <v>22</v>
      </c>
      <c r="F211" s="6" t="s">
        <v>28</v>
      </c>
      <c r="G211" s="6" t="s">
        <v>18</v>
      </c>
      <c r="H211" s="7">
        <v>45132.0</v>
      </c>
      <c r="I211" s="8">
        <v>93.0</v>
      </c>
      <c r="J211" s="8">
        <v>200.21</v>
      </c>
      <c r="K211" s="8">
        <v>299.78</v>
      </c>
      <c r="L211" s="3">
        <f t="shared" si="1"/>
        <v>-9260.01</v>
      </c>
    </row>
    <row r="212">
      <c r="B212" s="6" t="s">
        <v>248</v>
      </c>
      <c r="C212" s="6" t="s">
        <v>20</v>
      </c>
      <c r="D212" s="6" t="s">
        <v>31</v>
      </c>
      <c r="E212" s="6" t="s">
        <v>32</v>
      </c>
      <c r="F212" s="6" t="s">
        <v>17</v>
      </c>
      <c r="G212" s="6" t="s">
        <v>33</v>
      </c>
      <c r="H212" s="7">
        <v>45133.0</v>
      </c>
      <c r="I212" s="8">
        <v>271.0</v>
      </c>
      <c r="J212" s="8">
        <v>276.96</v>
      </c>
      <c r="K212" s="8">
        <v>224.01</v>
      </c>
      <c r="L212" s="3">
        <f t="shared" si="1"/>
        <v>14349.45</v>
      </c>
    </row>
    <row r="213">
      <c r="B213" s="6" t="s">
        <v>249</v>
      </c>
      <c r="C213" s="6" t="s">
        <v>20</v>
      </c>
      <c r="D213" s="6" t="s">
        <v>39</v>
      </c>
      <c r="E213" s="6" t="s">
        <v>32</v>
      </c>
      <c r="F213" s="6" t="s">
        <v>17</v>
      </c>
      <c r="G213" s="6" t="s">
        <v>23</v>
      </c>
      <c r="H213" s="7">
        <v>45134.0</v>
      </c>
      <c r="I213" s="8">
        <v>156.0</v>
      </c>
      <c r="J213" s="8">
        <v>374.7</v>
      </c>
      <c r="K213" s="8">
        <v>73.88</v>
      </c>
      <c r="L213" s="3">
        <f t="shared" si="1"/>
        <v>46927.92</v>
      </c>
    </row>
    <row r="214">
      <c r="B214" s="6" t="s">
        <v>250</v>
      </c>
      <c r="C214" s="6" t="s">
        <v>61</v>
      </c>
      <c r="D214" s="6" t="s">
        <v>31</v>
      </c>
      <c r="E214" s="6" t="s">
        <v>55</v>
      </c>
      <c r="F214" s="6" t="s">
        <v>28</v>
      </c>
      <c r="G214" s="6" t="s">
        <v>23</v>
      </c>
      <c r="H214" s="7">
        <v>45135.0</v>
      </c>
      <c r="I214" s="8">
        <v>450.0</v>
      </c>
      <c r="J214" s="8">
        <v>359.17</v>
      </c>
      <c r="K214" s="8">
        <v>23.44</v>
      </c>
      <c r="L214" s="3">
        <f t="shared" si="1"/>
        <v>151078.5</v>
      </c>
    </row>
    <row r="215">
      <c r="B215" s="6" t="s">
        <v>251</v>
      </c>
      <c r="C215" s="6" t="s">
        <v>26</v>
      </c>
      <c r="D215" s="6" t="s">
        <v>21</v>
      </c>
      <c r="E215" s="6" t="s">
        <v>32</v>
      </c>
      <c r="F215" s="6" t="s">
        <v>17</v>
      </c>
      <c r="G215" s="6" t="s">
        <v>18</v>
      </c>
      <c r="H215" s="7">
        <v>45136.0</v>
      </c>
      <c r="I215" s="8">
        <v>462.0</v>
      </c>
      <c r="J215" s="8">
        <v>263.01</v>
      </c>
      <c r="K215" s="8">
        <v>129.38</v>
      </c>
      <c r="L215" s="3">
        <f t="shared" si="1"/>
        <v>61737.06</v>
      </c>
    </row>
    <row r="216">
      <c r="B216" s="6" t="s">
        <v>252</v>
      </c>
      <c r="C216" s="6" t="s">
        <v>14</v>
      </c>
      <c r="D216" s="6" t="s">
        <v>63</v>
      </c>
      <c r="E216" s="6"/>
      <c r="F216" s="6" t="s">
        <v>17</v>
      </c>
      <c r="G216" s="6" t="s">
        <v>33</v>
      </c>
      <c r="H216" s="7">
        <v>45137.0</v>
      </c>
      <c r="I216" s="8">
        <v>396.0</v>
      </c>
      <c r="J216" s="8">
        <v>412.08</v>
      </c>
      <c r="K216" s="8">
        <v>301.77</v>
      </c>
      <c r="L216" s="3">
        <f t="shared" si="1"/>
        <v>43682.76</v>
      </c>
    </row>
    <row r="217">
      <c r="B217" s="6" t="s">
        <v>253</v>
      </c>
      <c r="C217" s="6" t="s">
        <v>14</v>
      </c>
      <c r="D217" s="6" t="s">
        <v>63</v>
      </c>
      <c r="E217" s="6" t="s">
        <v>27</v>
      </c>
      <c r="F217" s="6" t="s">
        <v>28</v>
      </c>
      <c r="G217" s="6" t="s">
        <v>23</v>
      </c>
      <c r="H217" s="7">
        <v>45138.0</v>
      </c>
      <c r="I217" s="8">
        <v>266.0</v>
      </c>
      <c r="J217" s="8">
        <v>218.28</v>
      </c>
      <c r="K217" s="8">
        <v>109.19</v>
      </c>
      <c r="L217" s="3">
        <f t="shared" si="1"/>
        <v>29017.94</v>
      </c>
    </row>
    <row r="218">
      <c r="B218" s="6" t="s">
        <v>254</v>
      </c>
      <c r="C218" s="6" t="s">
        <v>26</v>
      </c>
      <c r="D218" s="6" t="s">
        <v>15</v>
      </c>
      <c r="E218" s="6" t="s">
        <v>55</v>
      </c>
      <c r="F218" s="6" t="s">
        <v>28</v>
      </c>
      <c r="G218" s="6" t="s">
        <v>18</v>
      </c>
      <c r="H218" s="7">
        <v>45139.0</v>
      </c>
      <c r="I218" s="8">
        <v>67.0</v>
      </c>
      <c r="J218" s="8">
        <v>448.87</v>
      </c>
      <c r="K218" s="8">
        <v>216.74</v>
      </c>
      <c r="L218" s="3">
        <f t="shared" si="1"/>
        <v>15552.71</v>
      </c>
    </row>
    <row r="219">
      <c r="B219" s="6" t="s">
        <v>255</v>
      </c>
      <c r="C219" s="6" t="s">
        <v>14</v>
      </c>
      <c r="D219" s="6" t="s">
        <v>31</v>
      </c>
      <c r="E219" s="6" t="s">
        <v>32</v>
      </c>
      <c r="F219" s="6" t="s">
        <v>17</v>
      </c>
      <c r="G219" s="6" t="s">
        <v>23</v>
      </c>
      <c r="H219" s="7">
        <v>45140.0</v>
      </c>
      <c r="I219" s="8">
        <v>389.0</v>
      </c>
      <c r="J219" s="8">
        <v>40.28</v>
      </c>
      <c r="K219" s="8">
        <v>291.72</v>
      </c>
      <c r="L219" s="3">
        <f t="shared" si="1"/>
        <v>-97810.16</v>
      </c>
    </row>
    <row r="220">
      <c r="B220" s="6" t="s">
        <v>256</v>
      </c>
      <c r="C220" s="6" t="s">
        <v>14</v>
      </c>
      <c r="D220" s="6" t="s">
        <v>21</v>
      </c>
      <c r="E220" s="6" t="s">
        <v>55</v>
      </c>
      <c r="F220" s="6" t="s">
        <v>17</v>
      </c>
      <c r="G220" s="6" t="s">
        <v>33</v>
      </c>
      <c r="H220" s="7">
        <v>45141.0</v>
      </c>
      <c r="I220" s="8">
        <v>431.0</v>
      </c>
      <c r="J220" s="8">
        <v>477.56</v>
      </c>
      <c r="K220" s="8">
        <v>44.96</v>
      </c>
      <c r="L220" s="3">
        <f t="shared" si="1"/>
        <v>186450.6</v>
      </c>
    </row>
    <row r="221">
      <c r="B221" s="6" t="s">
        <v>257</v>
      </c>
      <c r="C221" s="6" t="s">
        <v>26</v>
      </c>
      <c r="D221" s="6" t="s">
        <v>15</v>
      </c>
      <c r="E221" s="6" t="s">
        <v>55</v>
      </c>
      <c r="F221" s="6" t="s">
        <v>28</v>
      </c>
      <c r="G221" s="6" t="s">
        <v>23</v>
      </c>
      <c r="H221" s="7">
        <v>45142.0</v>
      </c>
      <c r="I221" s="8">
        <v>24.0</v>
      </c>
      <c r="J221" s="8">
        <v>329.07</v>
      </c>
      <c r="K221" s="8">
        <v>274.75</v>
      </c>
      <c r="L221" s="3">
        <f t="shared" si="1"/>
        <v>1303.68</v>
      </c>
    </row>
    <row r="222">
      <c r="B222" s="6" t="s">
        <v>258</v>
      </c>
      <c r="C222" s="6" t="s">
        <v>20</v>
      </c>
      <c r="D222" s="6" t="s">
        <v>39</v>
      </c>
      <c r="E222" s="6" t="s">
        <v>27</v>
      </c>
      <c r="F222" s="6" t="s">
        <v>28</v>
      </c>
      <c r="G222" s="6" t="s">
        <v>23</v>
      </c>
      <c r="H222" s="7">
        <v>45143.0</v>
      </c>
      <c r="I222" s="8">
        <v>171.0</v>
      </c>
      <c r="J222" s="8">
        <v>193.14</v>
      </c>
      <c r="K222" s="8">
        <v>38.56</v>
      </c>
      <c r="L222" s="3">
        <f t="shared" si="1"/>
        <v>26433.18</v>
      </c>
    </row>
    <row r="223">
      <c r="B223" s="6" t="s">
        <v>259</v>
      </c>
      <c r="C223" s="6" t="s">
        <v>26</v>
      </c>
      <c r="D223" s="6" t="s">
        <v>15</v>
      </c>
      <c r="E223" s="6" t="s">
        <v>16</v>
      </c>
      <c r="F223" s="6" t="s">
        <v>17</v>
      </c>
      <c r="G223" s="6" t="s">
        <v>23</v>
      </c>
      <c r="H223" s="7">
        <v>45144.0</v>
      </c>
      <c r="I223" s="8">
        <v>454.0</v>
      </c>
      <c r="J223" s="8">
        <v>102.59</v>
      </c>
      <c r="K223" s="8">
        <v>386.12</v>
      </c>
      <c r="L223" s="3">
        <f t="shared" si="1"/>
        <v>-128722.62</v>
      </c>
    </row>
    <row r="224">
      <c r="B224" s="6" t="s">
        <v>260</v>
      </c>
      <c r="C224" s="6" t="s">
        <v>20</v>
      </c>
      <c r="D224" s="6" t="s">
        <v>15</v>
      </c>
      <c r="E224" s="6" t="s">
        <v>55</v>
      </c>
      <c r="F224" s="6" t="s">
        <v>28</v>
      </c>
      <c r="G224" s="6" t="s">
        <v>23</v>
      </c>
      <c r="H224" s="7">
        <v>45145.0</v>
      </c>
      <c r="I224" s="8">
        <v>172.0</v>
      </c>
      <c r="J224" s="8">
        <v>242.2</v>
      </c>
      <c r="K224" s="8">
        <v>196.38</v>
      </c>
      <c r="L224" s="3">
        <f t="shared" si="1"/>
        <v>7881.04</v>
      </c>
    </row>
    <row r="225">
      <c r="B225" s="6" t="s">
        <v>261</v>
      </c>
      <c r="C225" s="6" t="s">
        <v>14</v>
      </c>
      <c r="D225" s="6" t="s">
        <v>31</v>
      </c>
      <c r="E225" s="6" t="s">
        <v>32</v>
      </c>
      <c r="F225" s="6" t="s">
        <v>17</v>
      </c>
      <c r="G225" s="6" t="s">
        <v>18</v>
      </c>
      <c r="H225" s="7">
        <v>45146.0</v>
      </c>
      <c r="I225" s="8">
        <v>329.0</v>
      </c>
      <c r="J225" s="8">
        <v>101.31</v>
      </c>
      <c r="K225" s="8">
        <v>61.97</v>
      </c>
      <c r="L225" s="3">
        <f t="shared" si="1"/>
        <v>12942.86</v>
      </c>
    </row>
    <row r="226">
      <c r="B226" s="6" t="s">
        <v>262</v>
      </c>
      <c r="C226" s="6" t="s">
        <v>14</v>
      </c>
      <c r="D226" s="6" t="s">
        <v>39</v>
      </c>
      <c r="E226" s="6" t="s">
        <v>22</v>
      </c>
      <c r="F226" s="6" t="s">
        <v>17</v>
      </c>
      <c r="G226" s="6" t="s">
        <v>18</v>
      </c>
      <c r="H226" s="7">
        <v>45147.0</v>
      </c>
      <c r="I226" s="8">
        <v>290.0</v>
      </c>
      <c r="J226" s="8">
        <v>87.33</v>
      </c>
      <c r="K226" s="8">
        <v>138.27</v>
      </c>
      <c r="L226" s="3">
        <f t="shared" si="1"/>
        <v>-14772.6</v>
      </c>
    </row>
    <row r="227">
      <c r="B227" s="6" t="s">
        <v>263</v>
      </c>
      <c r="C227" s="6"/>
      <c r="D227" s="6" t="s">
        <v>15</v>
      </c>
      <c r="E227" s="6" t="s">
        <v>55</v>
      </c>
      <c r="F227" s="6" t="s">
        <v>17</v>
      </c>
      <c r="G227" s="6" t="s">
        <v>33</v>
      </c>
      <c r="H227" s="7">
        <v>45148.0</v>
      </c>
      <c r="I227" s="8">
        <v>289.0</v>
      </c>
      <c r="J227" s="8">
        <v>310.59</v>
      </c>
      <c r="K227" s="8">
        <v>166.54</v>
      </c>
      <c r="L227" s="3">
        <f t="shared" si="1"/>
        <v>41630.45</v>
      </c>
    </row>
    <row r="228">
      <c r="B228" s="6" t="s">
        <v>264</v>
      </c>
      <c r="C228" s="6" t="s">
        <v>61</v>
      </c>
      <c r="D228" s="6" t="s">
        <v>21</v>
      </c>
      <c r="E228" s="6" t="s">
        <v>55</v>
      </c>
      <c r="F228" s="6" t="s">
        <v>17</v>
      </c>
      <c r="G228" s="6" t="s">
        <v>18</v>
      </c>
      <c r="H228" s="7">
        <v>45149.0</v>
      </c>
      <c r="I228" s="8">
        <v>21.0</v>
      </c>
      <c r="J228" s="8">
        <v>263.93</v>
      </c>
      <c r="K228" s="8">
        <v>303.76</v>
      </c>
      <c r="L228" s="3">
        <f t="shared" si="1"/>
        <v>-836.43</v>
      </c>
    </row>
    <row r="229">
      <c r="B229" s="6" t="s">
        <v>265</v>
      </c>
      <c r="C229" s="6" t="s">
        <v>20</v>
      </c>
      <c r="D229" s="6" t="s">
        <v>21</v>
      </c>
      <c r="E229" s="6" t="s">
        <v>27</v>
      </c>
      <c r="F229" s="6" t="s">
        <v>17</v>
      </c>
      <c r="G229" s="6" t="s">
        <v>18</v>
      </c>
      <c r="H229" s="7">
        <v>45150.0</v>
      </c>
      <c r="I229" s="8">
        <v>283.0</v>
      </c>
      <c r="J229" s="8">
        <v>336.7</v>
      </c>
      <c r="K229" s="8">
        <v>297.88</v>
      </c>
      <c r="L229" s="3">
        <f t="shared" si="1"/>
        <v>10986.06</v>
      </c>
    </row>
    <row r="230">
      <c r="B230" s="6" t="s">
        <v>266</v>
      </c>
      <c r="C230" s="6" t="s">
        <v>61</v>
      </c>
      <c r="D230" s="6" t="s">
        <v>63</v>
      </c>
      <c r="E230" s="6" t="s">
        <v>16</v>
      </c>
      <c r="F230" s="6" t="s">
        <v>28</v>
      </c>
      <c r="G230" s="6" t="s">
        <v>33</v>
      </c>
      <c r="H230" s="7">
        <v>45151.0</v>
      </c>
      <c r="I230" s="8">
        <v>280.0</v>
      </c>
      <c r="J230" s="8">
        <v>465.15</v>
      </c>
      <c r="K230" s="8">
        <v>245.55</v>
      </c>
      <c r="L230" s="3">
        <f t="shared" si="1"/>
        <v>61488</v>
      </c>
    </row>
    <row r="231">
      <c r="B231" s="6" t="s">
        <v>267</v>
      </c>
      <c r="C231" s="6" t="s">
        <v>61</v>
      </c>
      <c r="D231" s="6" t="s">
        <v>39</v>
      </c>
      <c r="E231" s="6" t="s">
        <v>22</v>
      </c>
      <c r="F231" s="6" t="s">
        <v>28</v>
      </c>
      <c r="G231" s="6" t="s">
        <v>18</v>
      </c>
      <c r="H231" s="7">
        <v>45152.0</v>
      </c>
      <c r="I231" s="8">
        <v>217.0</v>
      </c>
      <c r="J231" s="8">
        <v>268.47</v>
      </c>
      <c r="K231" s="8">
        <v>44.16</v>
      </c>
      <c r="L231" s="3">
        <f t="shared" si="1"/>
        <v>48675.27</v>
      </c>
    </row>
    <row r="232">
      <c r="B232" s="6" t="s">
        <v>268</v>
      </c>
      <c r="C232" s="6" t="s">
        <v>26</v>
      </c>
      <c r="D232" s="6" t="s">
        <v>39</v>
      </c>
      <c r="E232" s="6" t="s">
        <v>32</v>
      </c>
      <c r="F232" s="6" t="s">
        <v>28</v>
      </c>
      <c r="G232" s="6" t="s">
        <v>18</v>
      </c>
      <c r="H232" s="7">
        <v>45153.0</v>
      </c>
      <c r="I232" s="8">
        <v>36.0</v>
      </c>
      <c r="J232" s="8">
        <v>292.56</v>
      </c>
      <c r="K232" s="8">
        <v>62.32</v>
      </c>
      <c r="L232" s="3">
        <f t="shared" si="1"/>
        <v>8288.64</v>
      </c>
    </row>
    <row r="233">
      <c r="B233" s="6" t="s">
        <v>269</v>
      </c>
      <c r="C233" s="6" t="s">
        <v>61</v>
      </c>
      <c r="D233" s="6" t="s">
        <v>63</v>
      </c>
      <c r="E233" s="6" t="s">
        <v>22</v>
      </c>
      <c r="F233" s="6" t="s">
        <v>28</v>
      </c>
      <c r="G233" s="6" t="s">
        <v>33</v>
      </c>
      <c r="H233" s="7">
        <v>45154.0</v>
      </c>
      <c r="I233" s="6"/>
      <c r="J233" s="8">
        <v>49.37</v>
      </c>
      <c r="K233" s="8">
        <v>39.32</v>
      </c>
      <c r="L233" s="3">
        <f t="shared" si="1"/>
        <v>0</v>
      </c>
    </row>
    <row r="234">
      <c r="B234" s="6" t="s">
        <v>270</v>
      </c>
      <c r="C234" s="6" t="s">
        <v>26</v>
      </c>
      <c r="D234" s="6" t="s">
        <v>15</v>
      </c>
      <c r="E234" s="6" t="s">
        <v>32</v>
      </c>
      <c r="F234" s="6" t="s">
        <v>17</v>
      </c>
      <c r="G234" s="6" t="s">
        <v>33</v>
      </c>
      <c r="H234" s="7">
        <v>45155.0</v>
      </c>
      <c r="I234" s="8">
        <v>69.0</v>
      </c>
      <c r="J234" s="8">
        <v>360.23</v>
      </c>
      <c r="K234" s="8">
        <v>231.71</v>
      </c>
      <c r="L234" s="3">
        <f t="shared" si="1"/>
        <v>8867.88</v>
      </c>
    </row>
    <row r="235">
      <c r="B235" s="6" t="s">
        <v>271</v>
      </c>
      <c r="C235" s="6" t="s">
        <v>26</v>
      </c>
      <c r="D235" s="6" t="s">
        <v>39</v>
      </c>
      <c r="E235" s="6" t="s">
        <v>16</v>
      </c>
      <c r="F235" s="6" t="s">
        <v>17</v>
      </c>
      <c r="G235" s="6" t="s">
        <v>33</v>
      </c>
      <c r="H235" s="7">
        <v>45156.0</v>
      </c>
      <c r="I235" s="8">
        <v>439.0</v>
      </c>
      <c r="J235" s="8">
        <v>202.95</v>
      </c>
      <c r="K235" s="8">
        <v>351.1</v>
      </c>
      <c r="L235" s="3">
        <f t="shared" si="1"/>
        <v>-65037.85</v>
      </c>
    </row>
    <row r="236">
      <c r="B236" s="6" t="s">
        <v>272</v>
      </c>
      <c r="C236" s="6" t="s">
        <v>61</v>
      </c>
      <c r="D236" s="6" t="s">
        <v>21</v>
      </c>
      <c r="E236" s="6" t="s">
        <v>32</v>
      </c>
      <c r="F236" s="6" t="s">
        <v>17</v>
      </c>
      <c r="G236" s="6" t="s">
        <v>23</v>
      </c>
      <c r="H236" s="7">
        <v>45157.0</v>
      </c>
      <c r="I236" s="8">
        <v>482.0</v>
      </c>
      <c r="J236" s="8">
        <v>488.48</v>
      </c>
      <c r="K236" s="8">
        <v>174.65</v>
      </c>
      <c r="L236" s="3">
        <f t="shared" si="1"/>
        <v>151266.06</v>
      </c>
    </row>
    <row r="237">
      <c r="B237" s="6" t="s">
        <v>273</v>
      </c>
      <c r="C237" s="6" t="s">
        <v>20</v>
      </c>
      <c r="D237" s="6" t="s">
        <v>21</v>
      </c>
      <c r="E237" s="6" t="s">
        <v>27</v>
      </c>
      <c r="F237" s="6" t="s">
        <v>17</v>
      </c>
      <c r="G237" s="6" t="s">
        <v>23</v>
      </c>
      <c r="H237" s="7">
        <v>45158.0</v>
      </c>
      <c r="I237" s="8">
        <v>154.0</v>
      </c>
      <c r="J237" s="8">
        <v>412.47</v>
      </c>
      <c r="K237" s="8">
        <v>66.02</v>
      </c>
      <c r="L237" s="3">
        <f t="shared" si="1"/>
        <v>53353.3</v>
      </c>
    </row>
    <row r="238">
      <c r="B238" s="6" t="s">
        <v>274</v>
      </c>
      <c r="C238" s="6" t="s">
        <v>20</v>
      </c>
      <c r="D238" s="6" t="s">
        <v>31</v>
      </c>
      <c r="E238" s="6" t="s">
        <v>27</v>
      </c>
      <c r="F238" s="6" t="s">
        <v>28</v>
      </c>
      <c r="G238" s="6" t="s">
        <v>33</v>
      </c>
      <c r="H238" s="7">
        <v>45159.0</v>
      </c>
      <c r="I238" s="8">
        <v>102.0</v>
      </c>
      <c r="J238" s="8">
        <v>263.63</v>
      </c>
      <c r="K238" s="8">
        <v>224.1</v>
      </c>
      <c r="L238" s="3">
        <f t="shared" si="1"/>
        <v>4032.06</v>
      </c>
    </row>
    <row r="239">
      <c r="B239" s="6" t="s">
        <v>275</v>
      </c>
      <c r="C239" s="6" t="s">
        <v>20</v>
      </c>
      <c r="D239" s="6" t="s">
        <v>39</v>
      </c>
      <c r="E239" s="6" t="s">
        <v>27</v>
      </c>
      <c r="F239" s="6" t="s">
        <v>17</v>
      </c>
      <c r="G239" s="6" t="s">
        <v>33</v>
      </c>
      <c r="H239" s="7">
        <v>45160.0</v>
      </c>
      <c r="I239" s="8">
        <v>318.0</v>
      </c>
      <c r="J239" s="8">
        <v>66.0</v>
      </c>
      <c r="K239" s="8">
        <v>325.08</v>
      </c>
      <c r="L239" s="3">
        <f t="shared" si="1"/>
        <v>-82387.44</v>
      </c>
    </row>
    <row r="240">
      <c r="B240" s="6" t="s">
        <v>276</v>
      </c>
      <c r="C240" s="6" t="s">
        <v>20</v>
      </c>
      <c r="D240" s="6" t="s">
        <v>15</v>
      </c>
      <c r="E240" s="6" t="s">
        <v>27</v>
      </c>
      <c r="F240" s="6" t="s">
        <v>17</v>
      </c>
      <c r="G240" s="6" t="s">
        <v>33</v>
      </c>
      <c r="H240" s="7">
        <v>45161.0</v>
      </c>
      <c r="I240" s="8">
        <v>17.0</v>
      </c>
      <c r="J240" s="8">
        <v>430.41</v>
      </c>
      <c r="K240" s="8">
        <v>297.2</v>
      </c>
      <c r="L240" s="3">
        <f t="shared" si="1"/>
        <v>2264.57</v>
      </c>
    </row>
    <row r="241">
      <c r="B241" s="6" t="s">
        <v>277</v>
      </c>
      <c r="C241" s="6" t="s">
        <v>20</v>
      </c>
      <c r="D241" s="6" t="s">
        <v>63</v>
      </c>
      <c r="E241" s="6" t="s">
        <v>22</v>
      </c>
      <c r="F241" s="6" t="s">
        <v>28</v>
      </c>
      <c r="G241" s="6" t="s">
        <v>23</v>
      </c>
      <c r="H241" s="7">
        <v>45162.0</v>
      </c>
      <c r="I241" s="8">
        <v>88.0</v>
      </c>
      <c r="J241" s="8">
        <v>400.89</v>
      </c>
      <c r="K241" s="8">
        <v>352.82</v>
      </c>
      <c r="L241" s="3">
        <f t="shared" si="1"/>
        <v>4230.16</v>
      </c>
    </row>
    <row r="242">
      <c r="B242" s="6" t="s">
        <v>278</v>
      </c>
      <c r="C242" s="6" t="s">
        <v>61</v>
      </c>
      <c r="D242" s="6" t="s">
        <v>63</v>
      </c>
      <c r="E242" s="6" t="s">
        <v>16</v>
      </c>
      <c r="F242" s="6" t="s">
        <v>28</v>
      </c>
      <c r="G242" s="6" t="s">
        <v>23</v>
      </c>
      <c r="H242" s="7">
        <v>45163.0</v>
      </c>
      <c r="I242" s="8">
        <v>36.0</v>
      </c>
      <c r="J242" s="8">
        <v>96.37</v>
      </c>
      <c r="K242" s="8">
        <v>112.61</v>
      </c>
      <c r="L242" s="3">
        <f t="shared" si="1"/>
        <v>-584.64</v>
      </c>
    </row>
    <row r="243">
      <c r="B243" s="6" t="s">
        <v>279</v>
      </c>
      <c r="C243" s="6" t="s">
        <v>61</v>
      </c>
      <c r="D243" s="6" t="s">
        <v>15</v>
      </c>
      <c r="E243" s="6" t="s">
        <v>32</v>
      </c>
      <c r="F243" s="6" t="s">
        <v>28</v>
      </c>
      <c r="G243" s="6" t="s">
        <v>18</v>
      </c>
      <c r="H243" s="7">
        <v>45164.0</v>
      </c>
      <c r="I243" s="8">
        <v>183.0</v>
      </c>
      <c r="J243" s="8">
        <v>151.16</v>
      </c>
      <c r="K243" s="8">
        <v>79.19</v>
      </c>
      <c r="L243" s="3">
        <f t="shared" si="1"/>
        <v>13170.51</v>
      </c>
    </row>
    <row r="244">
      <c r="B244" s="6" t="s">
        <v>280</v>
      </c>
      <c r="C244" s="6" t="s">
        <v>14</v>
      </c>
      <c r="D244" s="6" t="s">
        <v>31</v>
      </c>
      <c r="E244" s="6" t="s">
        <v>32</v>
      </c>
      <c r="F244" s="6" t="s">
        <v>28</v>
      </c>
      <c r="G244" s="6" t="s">
        <v>18</v>
      </c>
      <c r="H244" s="7">
        <v>45165.0</v>
      </c>
      <c r="I244" s="8">
        <v>59.0</v>
      </c>
      <c r="J244" s="8">
        <v>397.74</v>
      </c>
      <c r="K244" s="8">
        <v>352.17</v>
      </c>
      <c r="L244" s="3">
        <f t="shared" si="1"/>
        <v>2688.63</v>
      </c>
    </row>
    <row r="245">
      <c r="B245" s="6" t="s">
        <v>281</v>
      </c>
      <c r="C245" s="6" t="s">
        <v>20</v>
      </c>
      <c r="D245" s="6" t="s">
        <v>63</v>
      </c>
      <c r="E245" s="6" t="s">
        <v>27</v>
      </c>
      <c r="F245" s="6" t="s">
        <v>17</v>
      </c>
      <c r="G245" s="6" t="s">
        <v>33</v>
      </c>
      <c r="H245" s="7">
        <v>45166.0</v>
      </c>
      <c r="I245" s="8">
        <v>208.0</v>
      </c>
      <c r="J245" s="8">
        <v>96.69</v>
      </c>
      <c r="K245" s="8">
        <v>263.71</v>
      </c>
      <c r="L245" s="3">
        <f t="shared" si="1"/>
        <v>-34740.16</v>
      </c>
    </row>
    <row r="246">
      <c r="B246" s="6" t="s">
        <v>282</v>
      </c>
      <c r="C246" s="6" t="s">
        <v>61</v>
      </c>
      <c r="D246" s="6" t="s">
        <v>39</v>
      </c>
      <c r="E246" s="6" t="s">
        <v>27</v>
      </c>
      <c r="F246" s="6" t="s">
        <v>17</v>
      </c>
      <c r="G246" s="6" t="s">
        <v>23</v>
      </c>
      <c r="H246" s="7">
        <v>45167.0</v>
      </c>
      <c r="I246" s="8">
        <v>396.0</v>
      </c>
      <c r="J246" s="8">
        <v>459.29</v>
      </c>
      <c r="K246" s="8">
        <v>125.75</v>
      </c>
      <c r="L246" s="3">
        <f t="shared" si="1"/>
        <v>132081.84</v>
      </c>
    </row>
    <row r="247">
      <c r="B247" s="6" t="s">
        <v>283</v>
      </c>
      <c r="C247" s="6" t="s">
        <v>14</v>
      </c>
      <c r="D247" s="6" t="s">
        <v>31</v>
      </c>
      <c r="E247" s="6" t="s">
        <v>55</v>
      </c>
      <c r="F247" s="6" t="s">
        <v>28</v>
      </c>
      <c r="G247" s="6" t="s">
        <v>23</v>
      </c>
      <c r="H247" s="7">
        <v>45168.0</v>
      </c>
      <c r="I247" s="8">
        <v>358.0</v>
      </c>
      <c r="J247" s="8">
        <v>215.14</v>
      </c>
      <c r="K247" s="8">
        <v>297.45</v>
      </c>
      <c r="L247" s="3">
        <f t="shared" si="1"/>
        <v>-29466.98</v>
      </c>
    </row>
    <row r="248">
      <c r="B248" s="6" t="s">
        <v>284</v>
      </c>
      <c r="C248" s="6" t="s">
        <v>20</v>
      </c>
      <c r="D248" s="6" t="s">
        <v>39</v>
      </c>
      <c r="E248" s="6" t="s">
        <v>16</v>
      </c>
      <c r="F248" s="6" t="s">
        <v>17</v>
      </c>
      <c r="G248" s="6" t="s">
        <v>23</v>
      </c>
      <c r="H248" s="7">
        <v>45169.0</v>
      </c>
      <c r="I248" s="8">
        <v>457.0</v>
      </c>
      <c r="J248" s="8">
        <v>48.08</v>
      </c>
      <c r="K248" s="8">
        <v>326.42</v>
      </c>
      <c r="L248" s="3">
        <f t="shared" si="1"/>
        <v>-127201.38</v>
      </c>
    </row>
    <row r="249">
      <c r="B249" s="6" t="s">
        <v>285</v>
      </c>
      <c r="C249" s="6" t="s">
        <v>26</v>
      </c>
      <c r="D249" s="6" t="s">
        <v>21</v>
      </c>
      <c r="E249" s="6" t="s">
        <v>22</v>
      </c>
      <c r="F249" s="6" t="s">
        <v>17</v>
      </c>
      <c r="G249" s="6" t="s">
        <v>33</v>
      </c>
      <c r="H249" s="7">
        <v>45170.0</v>
      </c>
      <c r="I249" s="8">
        <v>437.0</v>
      </c>
      <c r="J249" s="8">
        <v>408.8</v>
      </c>
      <c r="K249" s="8">
        <v>246.76</v>
      </c>
      <c r="L249" s="3">
        <f t="shared" si="1"/>
        <v>70811.48</v>
      </c>
    </row>
    <row r="250">
      <c r="B250" s="6" t="s">
        <v>286</v>
      </c>
      <c r="C250" s="6" t="s">
        <v>14</v>
      </c>
      <c r="D250" s="6" t="s">
        <v>31</v>
      </c>
      <c r="E250" s="6" t="s">
        <v>32</v>
      </c>
      <c r="F250" s="6" t="s">
        <v>17</v>
      </c>
      <c r="G250" s="6" t="s">
        <v>18</v>
      </c>
      <c r="H250" s="7">
        <v>45171.0</v>
      </c>
      <c r="I250" s="8">
        <v>190.0</v>
      </c>
      <c r="J250" s="8">
        <v>189.89</v>
      </c>
      <c r="K250" s="8">
        <v>275.78</v>
      </c>
      <c r="L250" s="3">
        <f t="shared" si="1"/>
        <v>-16319.1</v>
      </c>
    </row>
    <row r="251">
      <c r="B251" s="6" t="s">
        <v>287</v>
      </c>
      <c r="C251" s="6" t="s">
        <v>61</v>
      </c>
      <c r="D251" s="6" t="s">
        <v>63</v>
      </c>
      <c r="E251" s="6" t="s">
        <v>55</v>
      </c>
      <c r="F251" s="6" t="s">
        <v>28</v>
      </c>
      <c r="G251" s="6" t="s">
        <v>33</v>
      </c>
      <c r="H251" s="7">
        <v>45172.0</v>
      </c>
      <c r="I251" s="8">
        <v>33.0</v>
      </c>
      <c r="J251" s="8">
        <v>265.62</v>
      </c>
      <c r="K251" s="8">
        <v>151.35</v>
      </c>
      <c r="L251" s="3">
        <f t="shared" si="1"/>
        <v>3770.91</v>
      </c>
    </row>
    <row r="252">
      <c r="B252" s="6" t="s">
        <v>288</v>
      </c>
      <c r="C252" s="6" t="s">
        <v>26</v>
      </c>
      <c r="D252" s="6" t="s">
        <v>31</v>
      </c>
      <c r="E252" s="6" t="s">
        <v>55</v>
      </c>
      <c r="F252" s="6" t="s">
        <v>17</v>
      </c>
      <c r="G252" s="6" t="s">
        <v>18</v>
      </c>
      <c r="H252" s="7">
        <v>45173.0</v>
      </c>
      <c r="I252" s="8">
        <v>325.0</v>
      </c>
      <c r="J252" s="8">
        <v>60.59</v>
      </c>
      <c r="K252" s="8">
        <v>216.4</v>
      </c>
      <c r="L252" s="3">
        <f t="shared" si="1"/>
        <v>-50638.25</v>
      </c>
    </row>
    <row r="253">
      <c r="B253" s="6" t="s">
        <v>289</v>
      </c>
      <c r="C253" s="6" t="s">
        <v>26</v>
      </c>
      <c r="D253" s="6" t="s">
        <v>31</v>
      </c>
      <c r="E253" s="6" t="s">
        <v>32</v>
      </c>
      <c r="F253" s="6" t="s">
        <v>28</v>
      </c>
      <c r="G253" s="6" t="s">
        <v>18</v>
      </c>
      <c r="H253" s="7">
        <v>45174.0</v>
      </c>
      <c r="I253" s="8">
        <v>387.0</v>
      </c>
      <c r="J253" s="8">
        <v>6.28</v>
      </c>
      <c r="K253" s="8">
        <v>210.62</v>
      </c>
      <c r="L253" s="3">
        <f t="shared" si="1"/>
        <v>-79079.58</v>
      </c>
    </row>
    <row r="254">
      <c r="B254" s="6" t="s">
        <v>290</v>
      </c>
      <c r="C254" s="6" t="s">
        <v>26</v>
      </c>
      <c r="D254" s="6" t="s">
        <v>31</v>
      </c>
      <c r="E254" s="6" t="s">
        <v>22</v>
      </c>
      <c r="F254" s="6" t="s">
        <v>17</v>
      </c>
      <c r="G254" s="6" t="s">
        <v>33</v>
      </c>
      <c r="H254" s="7">
        <v>45175.0</v>
      </c>
      <c r="I254" s="8">
        <v>396.0</v>
      </c>
      <c r="J254" s="8">
        <v>320.8</v>
      </c>
      <c r="K254" s="8">
        <v>339.52</v>
      </c>
      <c r="L254" s="3">
        <f t="shared" si="1"/>
        <v>-7413.12</v>
      </c>
    </row>
    <row r="255">
      <c r="B255" s="6" t="s">
        <v>291</v>
      </c>
      <c r="C255" s="6" t="s">
        <v>14</v>
      </c>
      <c r="D255" s="6" t="s">
        <v>31</v>
      </c>
      <c r="E255" s="6" t="s">
        <v>55</v>
      </c>
      <c r="F255" s="6" t="s">
        <v>17</v>
      </c>
      <c r="G255" s="6" t="s">
        <v>18</v>
      </c>
      <c r="H255" s="7">
        <v>45176.0</v>
      </c>
      <c r="I255" s="8">
        <v>413.0</v>
      </c>
      <c r="J255" s="8">
        <v>260.01</v>
      </c>
      <c r="K255" s="8">
        <v>336.31</v>
      </c>
      <c r="L255" s="3">
        <f t="shared" si="1"/>
        <v>-31511.9</v>
      </c>
    </row>
    <row r="256">
      <c r="B256" s="6" t="s">
        <v>292</v>
      </c>
      <c r="C256" s="6" t="s">
        <v>61</v>
      </c>
      <c r="D256" s="6" t="s">
        <v>39</v>
      </c>
      <c r="E256" s="6" t="s">
        <v>55</v>
      </c>
      <c r="F256" s="6" t="s">
        <v>17</v>
      </c>
      <c r="G256" s="6" t="s">
        <v>18</v>
      </c>
      <c r="H256" s="7">
        <v>45177.0</v>
      </c>
      <c r="I256" s="6"/>
      <c r="J256" s="8">
        <v>298.8</v>
      </c>
      <c r="K256" s="8">
        <v>333.41</v>
      </c>
      <c r="L256" s="3">
        <f t="shared" si="1"/>
        <v>0</v>
      </c>
    </row>
    <row r="257">
      <c r="B257" s="6" t="s">
        <v>293</v>
      </c>
      <c r="C257" s="6" t="s">
        <v>26</v>
      </c>
      <c r="D257" s="6" t="s">
        <v>21</v>
      </c>
      <c r="E257" s="6" t="s">
        <v>16</v>
      </c>
      <c r="F257" s="6" t="s">
        <v>28</v>
      </c>
      <c r="G257" s="6" t="s">
        <v>23</v>
      </c>
      <c r="H257" s="7">
        <v>45178.0</v>
      </c>
      <c r="I257" s="8">
        <v>24.0</v>
      </c>
      <c r="J257" s="8">
        <v>397.9</v>
      </c>
      <c r="K257" s="8">
        <v>6.39</v>
      </c>
      <c r="L257" s="3">
        <f t="shared" si="1"/>
        <v>9396.24</v>
      </c>
    </row>
    <row r="258">
      <c r="B258" s="6" t="s">
        <v>294</v>
      </c>
      <c r="C258" s="6" t="s">
        <v>20</v>
      </c>
      <c r="D258" s="6" t="s">
        <v>15</v>
      </c>
      <c r="E258" s="6"/>
      <c r="F258" s="6" t="s">
        <v>17</v>
      </c>
      <c r="G258" s="6" t="s">
        <v>18</v>
      </c>
      <c r="H258" s="7">
        <v>45179.0</v>
      </c>
      <c r="I258" s="8">
        <v>162.0</v>
      </c>
      <c r="J258" s="8">
        <v>325.07</v>
      </c>
      <c r="K258" s="8">
        <v>300.32</v>
      </c>
      <c r="L258" s="3">
        <f t="shared" si="1"/>
        <v>4009.5</v>
      </c>
    </row>
    <row r="259">
      <c r="B259" s="6" t="s">
        <v>295</v>
      </c>
      <c r="C259" s="6" t="s">
        <v>26</v>
      </c>
      <c r="D259" s="6" t="s">
        <v>31</v>
      </c>
      <c r="E259" s="6" t="s">
        <v>55</v>
      </c>
      <c r="F259" s="6" t="s">
        <v>28</v>
      </c>
      <c r="G259" s="6" t="s">
        <v>33</v>
      </c>
      <c r="H259" s="7">
        <v>45180.0</v>
      </c>
      <c r="I259" s="8">
        <v>231.0</v>
      </c>
      <c r="J259" s="8">
        <v>91.51</v>
      </c>
      <c r="K259" s="8">
        <v>303.95</v>
      </c>
      <c r="L259" s="3">
        <f t="shared" si="1"/>
        <v>-49073.64</v>
      </c>
    </row>
    <row r="260">
      <c r="B260" s="6" t="s">
        <v>296</v>
      </c>
      <c r="C260" s="6" t="s">
        <v>26</v>
      </c>
      <c r="D260" s="6" t="s">
        <v>63</v>
      </c>
      <c r="E260" s="6" t="s">
        <v>22</v>
      </c>
      <c r="F260" s="6" t="s">
        <v>28</v>
      </c>
      <c r="G260" s="6" t="s">
        <v>33</v>
      </c>
      <c r="H260" s="7">
        <v>45181.0</v>
      </c>
      <c r="I260" s="8">
        <v>215.0</v>
      </c>
      <c r="J260" s="8">
        <v>183.58</v>
      </c>
      <c r="K260" s="8">
        <v>271.99</v>
      </c>
      <c r="L260" s="3">
        <f t="shared" si="1"/>
        <v>-19008.15</v>
      </c>
    </row>
    <row r="261">
      <c r="B261" s="6" t="s">
        <v>297</v>
      </c>
      <c r="C261" s="6" t="s">
        <v>14</v>
      </c>
      <c r="D261" s="6" t="s">
        <v>31</v>
      </c>
      <c r="E261" s="6" t="s">
        <v>32</v>
      </c>
      <c r="F261" s="6" t="s">
        <v>28</v>
      </c>
      <c r="G261" s="6" t="s">
        <v>18</v>
      </c>
      <c r="H261" s="7">
        <v>45182.0</v>
      </c>
      <c r="I261" s="8">
        <v>464.0</v>
      </c>
      <c r="J261" s="8">
        <v>453.42</v>
      </c>
      <c r="K261" s="8">
        <v>302.99</v>
      </c>
      <c r="L261" s="3">
        <f t="shared" si="1"/>
        <v>69799.52</v>
      </c>
    </row>
    <row r="262">
      <c r="B262" s="6" t="s">
        <v>298</v>
      </c>
      <c r="C262" s="6" t="s">
        <v>14</v>
      </c>
      <c r="D262" s="6" t="s">
        <v>63</v>
      </c>
      <c r="E262" s="6" t="s">
        <v>27</v>
      </c>
      <c r="F262" s="6" t="s">
        <v>17</v>
      </c>
      <c r="G262" s="6" t="s">
        <v>23</v>
      </c>
      <c r="H262" s="7">
        <v>45183.0</v>
      </c>
      <c r="I262" s="8">
        <v>282.0</v>
      </c>
      <c r="J262" s="6"/>
      <c r="K262" s="8">
        <v>337.1</v>
      </c>
      <c r="L262" s="3">
        <f t="shared" si="1"/>
        <v>-95062.2</v>
      </c>
    </row>
    <row r="263">
      <c r="B263" s="6" t="s">
        <v>299</v>
      </c>
      <c r="C263" s="6" t="s">
        <v>61</v>
      </c>
      <c r="D263" s="6" t="s">
        <v>39</v>
      </c>
      <c r="E263" s="6" t="s">
        <v>55</v>
      </c>
      <c r="F263" s="6" t="s">
        <v>17</v>
      </c>
      <c r="G263" s="6" t="s">
        <v>23</v>
      </c>
      <c r="H263" s="7">
        <v>45184.0</v>
      </c>
      <c r="I263" s="8">
        <v>391.0</v>
      </c>
      <c r="J263" s="8">
        <v>280.54</v>
      </c>
      <c r="K263" s="8">
        <v>189.19</v>
      </c>
      <c r="L263" s="3">
        <f t="shared" si="1"/>
        <v>35717.85</v>
      </c>
    </row>
    <row r="264">
      <c r="B264" s="6" t="s">
        <v>300</v>
      </c>
      <c r="C264" s="6" t="s">
        <v>20</v>
      </c>
      <c r="D264" s="6" t="s">
        <v>63</v>
      </c>
      <c r="E264" s="6" t="s">
        <v>16</v>
      </c>
      <c r="F264" s="6" t="s">
        <v>17</v>
      </c>
      <c r="G264" s="6" t="s">
        <v>18</v>
      </c>
      <c r="H264" s="7">
        <v>45185.0</v>
      </c>
      <c r="I264" s="8">
        <v>245.0</v>
      </c>
      <c r="J264" s="8">
        <v>131.54</v>
      </c>
      <c r="K264" s="8">
        <v>201.82</v>
      </c>
      <c r="L264" s="3">
        <f t="shared" si="1"/>
        <v>-17218.6</v>
      </c>
    </row>
    <row r="265">
      <c r="B265" s="6" t="s">
        <v>301</v>
      </c>
      <c r="C265" s="6" t="s">
        <v>14</v>
      </c>
      <c r="D265" s="6" t="s">
        <v>15</v>
      </c>
      <c r="E265" s="6" t="s">
        <v>32</v>
      </c>
      <c r="F265" s="6" t="s">
        <v>17</v>
      </c>
      <c r="G265" s="6" t="s">
        <v>18</v>
      </c>
      <c r="H265" s="7">
        <v>45186.0</v>
      </c>
      <c r="I265" s="8">
        <v>349.0</v>
      </c>
      <c r="J265" s="8">
        <v>154.52</v>
      </c>
      <c r="K265" s="8">
        <v>51.64</v>
      </c>
      <c r="L265" s="3">
        <f t="shared" si="1"/>
        <v>35905.12</v>
      </c>
    </row>
    <row r="266">
      <c r="B266" s="6" t="s">
        <v>302</v>
      </c>
      <c r="C266" s="6" t="s">
        <v>26</v>
      </c>
      <c r="D266" s="6" t="s">
        <v>21</v>
      </c>
      <c r="E266" s="6" t="s">
        <v>22</v>
      </c>
      <c r="F266" s="6" t="s">
        <v>28</v>
      </c>
      <c r="G266" s="6" t="s">
        <v>33</v>
      </c>
      <c r="H266" s="7">
        <v>45187.0</v>
      </c>
      <c r="I266" s="8">
        <v>237.0</v>
      </c>
      <c r="J266" s="6"/>
      <c r="K266" s="8">
        <v>155.38</v>
      </c>
      <c r="L266" s="3">
        <f t="shared" si="1"/>
        <v>-36825.06</v>
      </c>
    </row>
    <row r="267">
      <c r="B267" s="6" t="s">
        <v>303</v>
      </c>
      <c r="C267" s="6" t="s">
        <v>61</v>
      </c>
      <c r="D267" s="6" t="s">
        <v>63</v>
      </c>
      <c r="E267" s="6" t="s">
        <v>32</v>
      </c>
      <c r="F267" s="6" t="s">
        <v>28</v>
      </c>
      <c r="G267" s="6" t="s">
        <v>18</v>
      </c>
      <c r="H267" s="7">
        <v>45188.0</v>
      </c>
      <c r="I267" s="8">
        <v>18.0</v>
      </c>
      <c r="J267" s="8">
        <v>426.33</v>
      </c>
      <c r="K267" s="8">
        <v>258.06</v>
      </c>
      <c r="L267" s="3">
        <f t="shared" si="1"/>
        <v>3028.86</v>
      </c>
    </row>
    <row r="268">
      <c r="B268" s="6" t="s">
        <v>304</v>
      </c>
      <c r="C268" s="6" t="s">
        <v>26</v>
      </c>
      <c r="D268" s="6" t="s">
        <v>63</v>
      </c>
      <c r="E268" s="6" t="s">
        <v>55</v>
      </c>
      <c r="F268" s="6" t="s">
        <v>28</v>
      </c>
      <c r="G268" s="6" t="s">
        <v>23</v>
      </c>
      <c r="H268" s="7">
        <v>45189.0</v>
      </c>
      <c r="I268" s="8">
        <v>175.0</v>
      </c>
      <c r="J268" s="8">
        <v>337.36</v>
      </c>
      <c r="K268" s="8">
        <v>312.6</v>
      </c>
      <c r="L268" s="3">
        <f t="shared" si="1"/>
        <v>4333</v>
      </c>
    </row>
    <row r="269">
      <c r="B269" s="6" t="s">
        <v>305</v>
      </c>
      <c r="C269" s="6" t="s">
        <v>26</v>
      </c>
      <c r="D269" s="6" t="s">
        <v>21</v>
      </c>
      <c r="E269" s="6"/>
      <c r="F269" s="6" t="s">
        <v>17</v>
      </c>
      <c r="G269" s="6" t="s">
        <v>18</v>
      </c>
      <c r="H269" s="7">
        <v>45190.0</v>
      </c>
      <c r="I269" s="8">
        <v>441.0</v>
      </c>
      <c r="J269" s="8">
        <v>405.72</v>
      </c>
      <c r="K269" s="8">
        <v>88.45</v>
      </c>
      <c r="L269" s="3">
        <f t="shared" si="1"/>
        <v>139916.07</v>
      </c>
    </row>
    <row r="270">
      <c r="B270" s="6" t="s">
        <v>306</v>
      </c>
      <c r="C270" s="6" t="s">
        <v>14</v>
      </c>
      <c r="D270" s="6" t="s">
        <v>15</v>
      </c>
      <c r="E270" s="6" t="s">
        <v>27</v>
      </c>
      <c r="F270" s="6" t="s">
        <v>28</v>
      </c>
      <c r="G270" s="6" t="s">
        <v>33</v>
      </c>
      <c r="H270" s="7">
        <v>45191.0</v>
      </c>
      <c r="I270" s="8">
        <v>453.0</v>
      </c>
      <c r="J270" s="8">
        <v>384.49</v>
      </c>
      <c r="K270" s="8">
        <v>56.85</v>
      </c>
      <c r="L270" s="3">
        <f t="shared" si="1"/>
        <v>148420.92</v>
      </c>
    </row>
    <row r="271">
      <c r="B271" s="6" t="s">
        <v>307</v>
      </c>
      <c r="C271" s="6" t="s">
        <v>61</v>
      </c>
      <c r="D271" s="6" t="s">
        <v>31</v>
      </c>
      <c r="E271" s="6" t="s">
        <v>32</v>
      </c>
      <c r="F271" s="6" t="s">
        <v>17</v>
      </c>
      <c r="G271" s="6" t="s">
        <v>33</v>
      </c>
      <c r="H271" s="7">
        <v>45192.0</v>
      </c>
      <c r="I271" s="8">
        <v>328.0</v>
      </c>
      <c r="J271" s="8">
        <v>79.1</v>
      </c>
      <c r="K271" s="8">
        <v>265.89</v>
      </c>
      <c r="L271" s="3">
        <f t="shared" si="1"/>
        <v>-61267.12</v>
      </c>
    </row>
    <row r="272">
      <c r="B272" s="6" t="s">
        <v>308</v>
      </c>
      <c r="C272" s="6" t="s">
        <v>20</v>
      </c>
      <c r="D272" s="6" t="s">
        <v>63</v>
      </c>
      <c r="E272" s="6" t="s">
        <v>55</v>
      </c>
      <c r="F272" s="6" t="s">
        <v>28</v>
      </c>
      <c r="G272" s="6" t="s">
        <v>33</v>
      </c>
      <c r="H272" s="7">
        <v>45193.0</v>
      </c>
      <c r="I272" s="8">
        <v>223.0</v>
      </c>
      <c r="J272" s="8">
        <v>214.85</v>
      </c>
      <c r="K272" s="8">
        <v>2.75</v>
      </c>
      <c r="L272" s="3">
        <f t="shared" si="1"/>
        <v>47298.3</v>
      </c>
    </row>
    <row r="273">
      <c r="B273" s="6" t="s">
        <v>309</v>
      </c>
      <c r="C273" s="6" t="s">
        <v>20</v>
      </c>
      <c r="D273" s="6" t="s">
        <v>21</v>
      </c>
      <c r="E273" s="6" t="s">
        <v>16</v>
      </c>
      <c r="F273" s="6" t="s">
        <v>17</v>
      </c>
      <c r="G273" s="6" t="s">
        <v>33</v>
      </c>
      <c r="H273" s="7">
        <v>45194.0</v>
      </c>
      <c r="I273" s="8">
        <v>126.0</v>
      </c>
      <c r="J273" s="8">
        <v>80.73</v>
      </c>
      <c r="K273" s="8">
        <v>72.99</v>
      </c>
      <c r="L273" s="3">
        <f t="shared" si="1"/>
        <v>975.24</v>
      </c>
    </row>
    <row r="274">
      <c r="B274" s="6" t="s">
        <v>310</v>
      </c>
      <c r="C274" s="6" t="s">
        <v>14</v>
      </c>
      <c r="D274" s="6" t="s">
        <v>39</v>
      </c>
      <c r="E274" s="6" t="s">
        <v>22</v>
      </c>
      <c r="F274" s="6" t="s">
        <v>17</v>
      </c>
      <c r="G274" s="6" t="s">
        <v>33</v>
      </c>
      <c r="H274" s="7">
        <v>45195.0</v>
      </c>
      <c r="I274" s="8">
        <v>395.0</v>
      </c>
      <c r="J274" s="8">
        <v>121.44</v>
      </c>
      <c r="K274" s="8">
        <v>13.57</v>
      </c>
      <c r="L274" s="3">
        <f t="shared" si="1"/>
        <v>42608.65</v>
      </c>
    </row>
    <row r="275">
      <c r="B275" s="6" t="s">
        <v>311</v>
      </c>
      <c r="C275" s="6" t="s">
        <v>14</v>
      </c>
      <c r="D275" s="6" t="s">
        <v>21</v>
      </c>
      <c r="E275" s="6" t="s">
        <v>32</v>
      </c>
      <c r="F275" s="6" t="s">
        <v>28</v>
      </c>
      <c r="G275" s="6" t="s">
        <v>18</v>
      </c>
      <c r="H275" s="7">
        <v>45196.0</v>
      </c>
      <c r="I275" s="8">
        <v>353.0</v>
      </c>
      <c r="J275" s="8">
        <v>435.28</v>
      </c>
      <c r="K275" s="8">
        <v>68.42</v>
      </c>
      <c r="L275" s="3">
        <f t="shared" si="1"/>
        <v>129501.58</v>
      </c>
    </row>
    <row r="276">
      <c r="B276" s="6" t="s">
        <v>312</v>
      </c>
      <c r="C276" s="6" t="s">
        <v>61</v>
      </c>
      <c r="D276" s="6" t="s">
        <v>39</v>
      </c>
      <c r="E276" s="6" t="s">
        <v>32</v>
      </c>
      <c r="F276" s="6" t="s">
        <v>28</v>
      </c>
      <c r="G276" s="6" t="s">
        <v>18</v>
      </c>
      <c r="H276" s="7">
        <v>45197.0</v>
      </c>
      <c r="I276" s="8">
        <v>81.0</v>
      </c>
      <c r="J276" s="8">
        <v>239.08</v>
      </c>
      <c r="K276" s="8">
        <v>74.17</v>
      </c>
      <c r="L276" s="3">
        <f t="shared" si="1"/>
        <v>13357.71</v>
      </c>
    </row>
    <row r="277">
      <c r="B277" s="6" t="s">
        <v>313</v>
      </c>
      <c r="C277" s="6" t="s">
        <v>20</v>
      </c>
      <c r="D277" s="6" t="s">
        <v>15</v>
      </c>
      <c r="E277" s="6" t="s">
        <v>27</v>
      </c>
      <c r="F277" s="6" t="s">
        <v>28</v>
      </c>
      <c r="G277" s="6" t="s">
        <v>18</v>
      </c>
      <c r="H277" s="7">
        <v>45198.0</v>
      </c>
      <c r="I277" s="8">
        <v>404.0</v>
      </c>
      <c r="J277" s="8">
        <v>270.0</v>
      </c>
      <c r="K277" s="8">
        <v>156.29</v>
      </c>
      <c r="L277" s="3">
        <f t="shared" si="1"/>
        <v>45938.84</v>
      </c>
    </row>
    <row r="278">
      <c r="B278" s="6" t="s">
        <v>314</v>
      </c>
      <c r="C278" s="6" t="s">
        <v>20</v>
      </c>
      <c r="D278" s="6" t="s">
        <v>31</v>
      </c>
      <c r="E278" s="6" t="s">
        <v>27</v>
      </c>
      <c r="F278" s="6" t="s">
        <v>28</v>
      </c>
      <c r="G278" s="6" t="s">
        <v>18</v>
      </c>
      <c r="H278" s="7">
        <v>45199.0</v>
      </c>
      <c r="I278" s="8">
        <v>73.0</v>
      </c>
      <c r="J278" s="8">
        <v>93.33</v>
      </c>
      <c r="K278" s="8">
        <v>162.13</v>
      </c>
      <c r="L278" s="3">
        <f t="shared" si="1"/>
        <v>-5022.4</v>
      </c>
    </row>
    <row r="279">
      <c r="B279" s="6" t="s">
        <v>315</v>
      </c>
      <c r="C279" s="6" t="s">
        <v>20</v>
      </c>
      <c r="D279" s="6" t="s">
        <v>21</v>
      </c>
      <c r="E279" s="6" t="s">
        <v>16</v>
      </c>
      <c r="F279" s="6" t="s">
        <v>17</v>
      </c>
      <c r="G279" s="6" t="s">
        <v>33</v>
      </c>
      <c r="H279" s="7">
        <v>45200.0</v>
      </c>
      <c r="I279" s="8">
        <v>214.0</v>
      </c>
      <c r="J279" s="8">
        <v>159.57</v>
      </c>
      <c r="K279" s="8">
        <v>349.96</v>
      </c>
      <c r="L279" s="3">
        <f t="shared" si="1"/>
        <v>-40743.46</v>
      </c>
    </row>
    <row r="280">
      <c r="B280" s="6" t="s">
        <v>316</v>
      </c>
      <c r="C280" s="6" t="s">
        <v>26</v>
      </c>
      <c r="D280" s="6" t="s">
        <v>63</v>
      </c>
      <c r="E280" s="6" t="s">
        <v>16</v>
      </c>
      <c r="F280" s="6" t="s">
        <v>28</v>
      </c>
      <c r="G280" s="6" t="s">
        <v>23</v>
      </c>
      <c r="H280" s="7">
        <v>45201.0</v>
      </c>
      <c r="I280" s="8">
        <v>218.0</v>
      </c>
      <c r="J280" s="8">
        <v>118.97</v>
      </c>
      <c r="K280" s="8">
        <v>205.02</v>
      </c>
      <c r="L280" s="3">
        <f t="shared" si="1"/>
        <v>-18758.9</v>
      </c>
    </row>
    <row r="281">
      <c r="B281" s="6" t="s">
        <v>317</v>
      </c>
      <c r="C281" s="6" t="s">
        <v>20</v>
      </c>
      <c r="D281" s="6" t="s">
        <v>15</v>
      </c>
      <c r="E281" s="6" t="s">
        <v>55</v>
      </c>
      <c r="F281" s="6" t="s">
        <v>28</v>
      </c>
      <c r="G281" s="6" t="s">
        <v>18</v>
      </c>
      <c r="H281" s="7">
        <v>45202.0</v>
      </c>
      <c r="I281" s="8">
        <v>81.0</v>
      </c>
      <c r="J281" s="8">
        <v>107.06</v>
      </c>
      <c r="K281" s="8">
        <v>289.92</v>
      </c>
      <c r="L281" s="3">
        <f t="shared" si="1"/>
        <v>-14811.66</v>
      </c>
    </row>
    <row r="282">
      <c r="B282" s="6" t="s">
        <v>318</v>
      </c>
      <c r="C282" s="6" t="s">
        <v>26</v>
      </c>
      <c r="D282" s="6" t="s">
        <v>21</v>
      </c>
      <c r="E282" s="6" t="s">
        <v>55</v>
      </c>
      <c r="F282" s="6" t="s">
        <v>28</v>
      </c>
      <c r="G282" s="6" t="s">
        <v>23</v>
      </c>
      <c r="H282" s="7">
        <v>45203.0</v>
      </c>
      <c r="I282" s="8">
        <v>286.0</v>
      </c>
      <c r="J282" s="8">
        <v>320.79</v>
      </c>
      <c r="K282" s="8">
        <v>43.45</v>
      </c>
      <c r="L282" s="3">
        <f t="shared" si="1"/>
        <v>79319.24</v>
      </c>
    </row>
    <row r="283">
      <c r="B283" s="6" t="s">
        <v>319</v>
      </c>
      <c r="C283" s="6" t="s">
        <v>61</v>
      </c>
      <c r="D283" s="6" t="s">
        <v>63</v>
      </c>
      <c r="E283" s="6" t="s">
        <v>16</v>
      </c>
      <c r="F283" s="6" t="s">
        <v>17</v>
      </c>
      <c r="G283" s="6" t="s">
        <v>18</v>
      </c>
      <c r="H283" s="7">
        <v>45204.0</v>
      </c>
      <c r="I283" s="8">
        <v>283.0</v>
      </c>
      <c r="J283" s="8">
        <v>132.16</v>
      </c>
      <c r="K283" s="8">
        <v>91.72</v>
      </c>
      <c r="L283" s="3">
        <f t="shared" si="1"/>
        <v>11444.52</v>
      </c>
    </row>
    <row r="284">
      <c r="B284" s="6" t="s">
        <v>320</v>
      </c>
      <c r="C284" s="6" t="s">
        <v>26</v>
      </c>
      <c r="D284" s="6" t="s">
        <v>21</v>
      </c>
      <c r="E284" s="6" t="s">
        <v>16</v>
      </c>
      <c r="F284" s="6" t="s">
        <v>17</v>
      </c>
      <c r="G284" s="6" t="s">
        <v>18</v>
      </c>
      <c r="H284" s="7">
        <v>45205.0</v>
      </c>
      <c r="I284" s="8">
        <v>487.0</v>
      </c>
      <c r="J284" s="8">
        <v>317.85</v>
      </c>
      <c r="K284" s="8">
        <v>281.77</v>
      </c>
      <c r="L284" s="3">
        <f t="shared" si="1"/>
        <v>17570.96</v>
      </c>
    </row>
    <row r="285">
      <c r="B285" s="6" t="s">
        <v>321</v>
      </c>
      <c r="C285" s="6" t="s">
        <v>61</v>
      </c>
      <c r="D285" s="6" t="s">
        <v>39</v>
      </c>
      <c r="E285" s="6" t="s">
        <v>22</v>
      </c>
      <c r="F285" s="6" t="s">
        <v>28</v>
      </c>
      <c r="G285" s="6" t="s">
        <v>23</v>
      </c>
      <c r="H285" s="7">
        <v>45206.0</v>
      </c>
      <c r="I285" s="8">
        <v>329.0</v>
      </c>
      <c r="J285" s="8">
        <v>33.94</v>
      </c>
      <c r="K285" s="8">
        <v>23.02</v>
      </c>
      <c r="L285" s="3">
        <f t="shared" si="1"/>
        <v>3592.68</v>
      </c>
    </row>
    <row r="286">
      <c r="B286" s="6" t="s">
        <v>322</v>
      </c>
      <c r="C286" s="6" t="s">
        <v>20</v>
      </c>
      <c r="D286" s="6" t="s">
        <v>21</v>
      </c>
      <c r="E286" s="6" t="s">
        <v>27</v>
      </c>
      <c r="F286" s="6" t="s">
        <v>17</v>
      </c>
      <c r="G286" s="6" t="s">
        <v>33</v>
      </c>
      <c r="H286" s="7">
        <v>45207.0</v>
      </c>
      <c r="I286" s="8">
        <v>347.0</v>
      </c>
      <c r="J286" s="8">
        <v>75.18</v>
      </c>
      <c r="K286" s="8">
        <v>195.67</v>
      </c>
      <c r="L286" s="3">
        <f t="shared" si="1"/>
        <v>-41810.03</v>
      </c>
    </row>
    <row r="287">
      <c r="B287" s="6" t="s">
        <v>323</v>
      </c>
      <c r="C287" s="6" t="s">
        <v>20</v>
      </c>
      <c r="D287" s="6" t="s">
        <v>21</v>
      </c>
      <c r="E287" s="6" t="s">
        <v>55</v>
      </c>
      <c r="F287" s="6" t="s">
        <v>28</v>
      </c>
      <c r="G287" s="6" t="s">
        <v>18</v>
      </c>
      <c r="H287" s="7">
        <v>45208.0</v>
      </c>
      <c r="I287" s="8">
        <v>375.0</v>
      </c>
      <c r="J287" s="8">
        <v>140.9</v>
      </c>
      <c r="K287" s="8">
        <v>240.55</v>
      </c>
      <c r="L287" s="3">
        <f t="shared" si="1"/>
        <v>-37368.75</v>
      </c>
    </row>
    <row r="288">
      <c r="B288" s="6" t="s">
        <v>324</v>
      </c>
      <c r="C288" s="6" t="s">
        <v>61</v>
      </c>
      <c r="D288" s="6" t="s">
        <v>21</v>
      </c>
      <c r="E288" s="6" t="s">
        <v>27</v>
      </c>
      <c r="F288" s="6" t="s">
        <v>17</v>
      </c>
      <c r="G288" s="6" t="s">
        <v>18</v>
      </c>
      <c r="H288" s="7">
        <v>45209.0</v>
      </c>
      <c r="I288" s="8">
        <v>104.0</v>
      </c>
      <c r="J288" s="8">
        <v>300.54</v>
      </c>
      <c r="K288" s="8">
        <v>241.65</v>
      </c>
      <c r="L288" s="3">
        <f t="shared" si="1"/>
        <v>6124.56</v>
      </c>
    </row>
    <row r="289">
      <c r="B289" s="6" t="s">
        <v>325</v>
      </c>
      <c r="C289" s="6" t="s">
        <v>14</v>
      </c>
      <c r="D289" s="6" t="s">
        <v>15</v>
      </c>
      <c r="E289" s="6"/>
      <c r="F289" s="6" t="s">
        <v>17</v>
      </c>
      <c r="G289" s="6" t="s">
        <v>18</v>
      </c>
      <c r="H289" s="7">
        <v>45210.0</v>
      </c>
      <c r="I289" s="8">
        <v>175.0</v>
      </c>
      <c r="J289" s="8">
        <v>339.54</v>
      </c>
      <c r="K289" s="8">
        <v>11.13</v>
      </c>
      <c r="L289" s="3">
        <f t="shared" si="1"/>
        <v>57471.75</v>
      </c>
    </row>
    <row r="290">
      <c r="B290" s="6" t="s">
        <v>326</v>
      </c>
      <c r="C290" s="6" t="s">
        <v>61</v>
      </c>
      <c r="D290" s="6" t="s">
        <v>21</v>
      </c>
      <c r="E290" s="6" t="s">
        <v>16</v>
      </c>
      <c r="F290" s="6" t="s">
        <v>17</v>
      </c>
      <c r="G290" s="6" t="s">
        <v>23</v>
      </c>
      <c r="H290" s="7">
        <v>45211.0</v>
      </c>
      <c r="I290" s="8">
        <v>41.0</v>
      </c>
      <c r="J290" s="8">
        <v>224.14</v>
      </c>
      <c r="K290" s="8">
        <v>130.2</v>
      </c>
      <c r="L290" s="3">
        <f t="shared" si="1"/>
        <v>3851.54</v>
      </c>
    </row>
    <row r="291">
      <c r="B291" s="6" t="s">
        <v>327</v>
      </c>
      <c r="C291" s="6" t="s">
        <v>14</v>
      </c>
      <c r="D291" s="6" t="s">
        <v>63</v>
      </c>
      <c r="E291" s="6" t="s">
        <v>22</v>
      </c>
      <c r="F291" s="6" t="s">
        <v>17</v>
      </c>
      <c r="G291" s="6" t="s">
        <v>33</v>
      </c>
      <c r="H291" s="7">
        <v>45212.0</v>
      </c>
      <c r="I291" s="8">
        <v>20.0</v>
      </c>
      <c r="J291" s="8">
        <v>225.67</v>
      </c>
      <c r="K291" s="8">
        <v>255.32</v>
      </c>
      <c r="L291" s="3">
        <f t="shared" si="1"/>
        <v>-593</v>
      </c>
    </row>
    <row r="292">
      <c r="B292" s="6" t="s">
        <v>328</v>
      </c>
      <c r="C292" s="6" t="s">
        <v>26</v>
      </c>
      <c r="D292" s="6" t="s">
        <v>39</v>
      </c>
      <c r="E292" s="6" t="s">
        <v>32</v>
      </c>
      <c r="F292" s="6" t="s">
        <v>28</v>
      </c>
      <c r="G292" s="6" t="s">
        <v>23</v>
      </c>
      <c r="H292" s="7">
        <v>45213.0</v>
      </c>
      <c r="I292" s="8">
        <v>310.0</v>
      </c>
      <c r="J292" s="8">
        <v>363.64</v>
      </c>
      <c r="K292" s="8">
        <v>61.3</v>
      </c>
      <c r="L292" s="3">
        <f t="shared" si="1"/>
        <v>93725.4</v>
      </c>
    </row>
    <row r="293">
      <c r="B293" s="6" t="s">
        <v>329</v>
      </c>
      <c r="C293" s="6" t="s">
        <v>26</v>
      </c>
      <c r="D293" s="6" t="s">
        <v>39</v>
      </c>
      <c r="E293" s="6" t="s">
        <v>22</v>
      </c>
      <c r="F293" s="6" t="s">
        <v>28</v>
      </c>
      <c r="G293" s="6" t="s">
        <v>23</v>
      </c>
      <c r="H293" s="7">
        <v>45214.0</v>
      </c>
      <c r="I293" s="8">
        <v>226.0</v>
      </c>
      <c r="J293" s="6"/>
      <c r="K293" s="8">
        <v>278.78</v>
      </c>
      <c r="L293" s="3">
        <f t="shared" si="1"/>
        <v>-63004.28</v>
      </c>
    </row>
    <row r="294">
      <c r="B294" s="6" t="s">
        <v>330</v>
      </c>
      <c r="C294" s="6" t="s">
        <v>26</v>
      </c>
      <c r="D294" s="6" t="s">
        <v>21</v>
      </c>
      <c r="E294" s="6" t="s">
        <v>22</v>
      </c>
      <c r="F294" s="6" t="s">
        <v>28</v>
      </c>
      <c r="G294" s="6" t="s">
        <v>33</v>
      </c>
      <c r="H294" s="7">
        <v>45215.0</v>
      </c>
      <c r="I294" s="6"/>
      <c r="J294" s="8">
        <v>173.84</v>
      </c>
      <c r="K294" s="8">
        <v>298.88</v>
      </c>
      <c r="L294" s="3">
        <f t="shared" si="1"/>
        <v>0</v>
      </c>
    </row>
    <row r="295">
      <c r="B295" s="6" t="s">
        <v>331</v>
      </c>
      <c r="C295" s="6" t="s">
        <v>20</v>
      </c>
      <c r="D295" s="6" t="s">
        <v>15</v>
      </c>
      <c r="E295" s="6" t="s">
        <v>27</v>
      </c>
      <c r="F295" s="6" t="s">
        <v>17</v>
      </c>
      <c r="G295" s="6" t="s">
        <v>23</v>
      </c>
      <c r="H295" s="7">
        <v>45216.0</v>
      </c>
      <c r="I295" s="8">
        <v>111.0</v>
      </c>
      <c r="J295" s="8">
        <v>410.26</v>
      </c>
      <c r="K295" s="8">
        <v>392.82</v>
      </c>
      <c r="L295" s="3">
        <f t="shared" si="1"/>
        <v>1935.84</v>
      </c>
    </row>
    <row r="296">
      <c r="B296" s="6" t="s">
        <v>332</v>
      </c>
      <c r="C296" s="6" t="s">
        <v>26</v>
      </c>
      <c r="D296" s="6" t="s">
        <v>15</v>
      </c>
      <c r="E296" s="6" t="s">
        <v>22</v>
      </c>
      <c r="F296" s="6" t="s">
        <v>28</v>
      </c>
      <c r="G296" s="6" t="s">
        <v>33</v>
      </c>
      <c r="H296" s="7">
        <v>45217.0</v>
      </c>
      <c r="I296" s="8">
        <v>434.0</v>
      </c>
      <c r="J296" s="8">
        <v>303.59</v>
      </c>
      <c r="K296" s="8">
        <v>85.52</v>
      </c>
      <c r="L296" s="3">
        <f t="shared" si="1"/>
        <v>94642.38</v>
      </c>
    </row>
    <row r="297">
      <c r="B297" s="6" t="s">
        <v>333</v>
      </c>
      <c r="C297" s="6" t="s">
        <v>14</v>
      </c>
      <c r="D297" s="6" t="s">
        <v>63</v>
      </c>
      <c r="E297" s="6" t="s">
        <v>55</v>
      </c>
      <c r="F297" s="6" t="s">
        <v>28</v>
      </c>
      <c r="G297" s="6" t="s">
        <v>18</v>
      </c>
      <c r="H297" s="7">
        <v>45218.0</v>
      </c>
      <c r="I297" s="8">
        <v>401.0</v>
      </c>
      <c r="J297" s="8">
        <v>171.93</v>
      </c>
      <c r="K297" s="8">
        <v>330.4</v>
      </c>
      <c r="L297" s="3">
        <f t="shared" si="1"/>
        <v>-63546.47</v>
      </c>
    </row>
    <row r="298">
      <c r="B298" s="6" t="s">
        <v>334</v>
      </c>
      <c r="C298" s="6" t="s">
        <v>26</v>
      </c>
      <c r="D298" s="6" t="s">
        <v>21</v>
      </c>
      <c r="E298" s="6" t="s">
        <v>27</v>
      </c>
      <c r="F298" s="6" t="s">
        <v>28</v>
      </c>
      <c r="G298" s="6" t="s">
        <v>33</v>
      </c>
      <c r="H298" s="7">
        <v>45219.0</v>
      </c>
      <c r="I298" s="8">
        <v>276.0</v>
      </c>
      <c r="J298" s="8">
        <v>453.23</v>
      </c>
      <c r="K298" s="8">
        <v>209.08</v>
      </c>
      <c r="L298" s="3">
        <f t="shared" si="1"/>
        <v>67385.4</v>
      </c>
    </row>
    <row r="299">
      <c r="B299" s="6" t="s">
        <v>335</v>
      </c>
      <c r="C299" s="6" t="s">
        <v>61</v>
      </c>
      <c r="D299" s="6" t="s">
        <v>39</v>
      </c>
      <c r="E299" s="6" t="s">
        <v>55</v>
      </c>
      <c r="F299" s="6" t="s">
        <v>17</v>
      </c>
      <c r="G299" s="6" t="s">
        <v>18</v>
      </c>
      <c r="H299" s="7">
        <v>45220.0</v>
      </c>
      <c r="I299" s="6"/>
      <c r="J299" s="8">
        <v>387.45</v>
      </c>
      <c r="K299" s="8">
        <v>150.64</v>
      </c>
      <c r="L299" s="3">
        <f t="shared" si="1"/>
        <v>0</v>
      </c>
    </row>
    <row r="300">
      <c r="B300" s="6" t="s">
        <v>336</v>
      </c>
      <c r="C300" s="6" t="s">
        <v>61</v>
      </c>
      <c r="D300" s="6" t="s">
        <v>15</v>
      </c>
      <c r="E300" s="6" t="s">
        <v>32</v>
      </c>
      <c r="F300" s="6" t="s">
        <v>17</v>
      </c>
      <c r="G300" s="6" t="s">
        <v>23</v>
      </c>
      <c r="H300" s="7">
        <v>45221.0</v>
      </c>
      <c r="I300" s="8">
        <v>188.0</v>
      </c>
      <c r="J300" s="8">
        <v>136.12</v>
      </c>
      <c r="K300" s="8">
        <v>50.71</v>
      </c>
      <c r="L300" s="3">
        <f t="shared" si="1"/>
        <v>16057.08</v>
      </c>
    </row>
    <row r="301">
      <c r="B301" s="6" t="s">
        <v>337</v>
      </c>
      <c r="C301" s="6" t="s">
        <v>20</v>
      </c>
      <c r="D301" s="6" t="s">
        <v>21</v>
      </c>
      <c r="E301" s="6" t="s">
        <v>27</v>
      </c>
      <c r="F301" s="6" t="s">
        <v>17</v>
      </c>
      <c r="G301" s="6" t="s">
        <v>23</v>
      </c>
      <c r="H301" s="7">
        <v>45222.0</v>
      </c>
      <c r="I301" s="8">
        <v>97.0</v>
      </c>
      <c r="J301" s="8">
        <v>324.42</v>
      </c>
      <c r="K301" s="8">
        <v>294.73</v>
      </c>
      <c r="L301" s="3">
        <f t="shared" si="1"/>
        <v>2879.93</v>
      </c>
    </row>
    <row r="302">
      <c r="B302" s="6" t="s">
        <v>338</v>
      </c>
      <c r="C302" s="6" t="s">
        <v>61</v>
      </c>
      <c r="D302" s="6" t="s">
        <v>15</v>
      </c>
      <c r="E302" s="6" t="s">
        <v>32</v>
      </c>
      <c r="F302" s="6" t="s">
        <v>28</v>
      </c>
      <c r="G302" s="6" t="s">
        <v>18</v>
      </c>
      <c r="H302" s="7">
        <v>45223.0</v>
      </c>
      <c r="I302" s="8">
        <v>50.0</v>
      </c>
      <c r="J302" s="8">
        <v>299.9</v>
      </c>
      <c r="K302" s="8">
        <v>95.87</v>
      </c>
      <c r="L302" s="3">
        <f t="shared" si="1"/>
        <v>10201.5</v>
      </c>
    </row>
    <row r="303">
      <c r="B303" s="6" t="s">
        <v>339</v>
      </c>
      <c r="C303" s="6" t="s">
        <v>14</v>
      </c>
      <c r="D303" s="6" t="s">
        <v>15</v>
      </c>
      <c r="E303" s="6" t="s">
        <v>27</v>
      </c>
      <c r="F303" s="6" t="s">
        <v>28</v>
      </c>
      <c r="G303" s="6" t="s">
        <v>23</v>
      </c>
      <c r="H303" s="7">
        <v>45224.0</v>
      </c>
      <c r="I303" s="8">
        <v>410.0</v>
      </c>
      <c r="J303" s="8">
        <v>203.59</v>
      </c>
      <c r="K303" s="8">
        <v>149.83</v>
      </c>
      <c r="L303" s="3">
        <f t="shared" si="1"/>
        <v>22041.6</v>
      </c>
    </row>
    <row r="304">
      <c r="B304" s="6" t="s">
        <v>340</v>
      </c>
      <c r="C304" s="6" t="s">
        <v>26</v>
      </c>
      <c r="D304" s="6" t="s">
        <v>39</v>
      </c>
      <c r="E304" s="6" t="s">
        <v>16</v>
      </c>
      <c r="F304" s="6" t="s">
        <v>28</v>
      </c>
      <c r="G304" s="6" t="s">
        <v>33</v>
      </c>
      <c r="H304" s="7">
        <v>45225.0</v>
      </c>
      <c r="I304" s="8">
        <v>85.0</v>
      </c>
      <c r="J304" s="8">
        <v>186.64</v>
      </c>
      <c r="K304" s="8">
        <v>26.89</v>
      </c>
      <c r="L304" s="3">
        <f t="shared" si="1"/>
        <v>13578.75</v>
      </c>
    </row>
    <row r="305">
      <c r="B305" s="6" t="s">
        <v>341</v>
      </c>
      <c r="C305" s="6" t="s">
        <v>20</v>
      </c>
      <c r="D305" s="6" t="s">
        <v>31</v>
      </c>
      <c r="E305" s="6" t="s">
        <v>22</v>
      </c>
      <c r="F305" s="6" t="s">
        <v>17</v>
      </c>
      <c r="G305" s="6" t="s">
        <v>18</v>
      </c>
      <c r="H305" s="7">
        <v>45226.0</v>
      </c>
      <c r="I305" s="8">
        <v>386.0</v>
      </c>
      <c r="J305" s="8">
        <v>175.06</v>
      </c>
      <c r="K305" s="8">
        <v>320.94</v>
      </c>
      <c r="L305" s="3">
        <f t="shared" si="1"/>
        <v>-56309.68</v>
      </c>
    </row>
    <row r="306">
      <c r="B306" s="6" t="s">
        <v>342</v>
      </c>
      <c r="C306" s="6" t="s">
        <v>26</v>
      </c>
      <c r="D306" s="6" t="s">
        <v>63</v>
      </c>
      <c r="E306" s="6" t="s">
        <v>16</v>
      </c>
      <c r="F306" s="6" t="s">
        <v>17</v>
      </c>
      <c r="G306" s="6" t="s">
        <v>23</v>
      </c>
      <c r="H306" s="7">
        <v>45227.0</v>
      </c>
      <c r="I306" s="8">
        <v>55.0</v>
      </c>
      <c r="J306" s="8">
        <v>310.49</v>
      </c>
      <c r="K306" s="8">
        <v>307.1</v>
      </c>
      <c r="L306" s="3">
        <f t="shared" si="1"/>
        <v>186.45</v>
      </c>
    </row>
    <row r="307">
      <c r="B307" s="6" t="s">
        <v>343</v>
      </c>
      <c r="C307" s="6" t="s">
        <v>26</v>
      </c>
      <c r="D307" s="6" t="s">
        <v>63</v>
      </c>
      <c r="E307" s="6" t="s">
        <v>32</v>
      </c>
      <c r="F307" s="6" t="s">
        <v>28</v>
      </c>
      <c r="G307" s="6" t="s">
        <v>18</v>
      </c>
      <c r="H307" s="7">
        <v>45228.0</v>
      </c>
      <c r="I307" s="8">
        <v>169.0</v>
      </c>
      <c r="J307" s="8">
        <v>223.99</v>
      </c>
      <c r="K307" s="8">
        <v>293.98</v>
      </c>
      <c r="L307" s="3">
        <f t="shared" si="1"/>
        <v>-11828.31</v>
      </c>
    </row>
    <row r="308">
      <c r="B308" s="6" t="s">
        <v>344</v>
      </c>
      <c r="C308" s="6" t="s">
        <v>14</v>
      </c>
      <c r="D308" s="6" t="s">
        <v>39</v>
      </c>
      <c r="E308" s="6" t="s">
        <v>22</v>
      </c>
      <c r="F308" s="6" t="s">
        <v>17</v>
      </c>
      <c r="G308" s="6" t="s">
        <v>33</v>
      </c>
      <c r="H308" s="7">
        <v>45229.0</v>
      </c>
      <c r="I308" s="8">
        <v>472.0</v>
      </c>
      <c r="J308" s="8">
        <v>416.77</v>
      </c>
      <c r="K308" s="8">
        <v>121.18</v>
      </c>
      <c r="L308" s="3">
        <f t="shared" si="1"/>
        <v>139518.48</v>
      </c>
    </row>
    <row r="309">
      <c r="B309" s="6" t="s">
        <v>345</v>
      </c>
      <c r="C309" s="6" t="s">
        <v>61</v>
      </c>
      <c r="D309" s="6" t="s">
        <v>15</v>
      </c>
      <c r="E309" s="6" t="s">
        <v>27</v>
      </c>
      <c r="F309" s="6" t="s">
        <v>17</v>
      </c>
      <c r="G309" s="6" t="s">
        <v>33</v>
      </c>
      <c r="H309" s="7">
        <v>45230.0</v>
      </c>
      <c r="I309" s="8">
        <v>89.0</v>
      </c>
      <c r="J309" s="8">
        <v>336.45</v>
      </c>
      <c r="K309" s="8">
        <v>71.05</v>
      </c>
      <c r="L309" s="3">
        <f t="shared" si="1"/>
        <v>23620.6</v>
      </c>
    </row>
    <row r="310">
      <c r="B310" s="6" t="s">
        <v>346</v>
      </c>
      <c r="C310" s="6" t="s">
        <v>61</v>
      </c>
      <c r="D310" s="6" t="s">
        <v>21</v>
      </c>
      <c r="E310" s="6" t="s">
        <v>22</v>
      </c>
      <c r="F310" s="6" t="s">
        <v>17</v>
      </c>
      <c r="G310" s="6" t="s">
        <v>23</v>
      </c>
      <c r="H310" s="7">
        <v>45231.0</v>
      </c>
      <c r="I310" s="8">
        <v>319.0</v>
      </c>
      <c r="J310" s="8">
        <v>39.62</v>
      </c>
      <c r="K310" s="8">
        <v>255.75</v>
      </c>
      <c r="L310" s="3">
        <f t="shared" si="1"/>
        <v>-68945.47</v>
      </c>
    </row>
    <row r="311">
      <c r="B311" s="6" t="s">
        <v>347</v>
      </c>
      <c r="C311" s="6" t="s">
        <v>26</v>
      </c>
      <c r="D311" s="6" t="s">
        <v>15</v>
      </c>
      <c r="E311" s="6"/>
      <c r="F311" s="6" t="s">
        <v>17</v>
      </c>
      <c r="G311" s="6" t="s">
        <v>33</v>
      </c>
      <c r="H311" s="7">
        <v>45232.0</v>
      </c>
      <c r="I311" s="8">
        <v>95.0</v>
      </c>
      <c r="J311" s="8">
        <v>321.88</v>
      </c>
      <c r="K311" s="8">
        <v>199.47</v>
      </c>
      <c r="L311" s="3">
        <f t="shared" si="1"/>
        <v>11628.95</v>
      </c>
    </row>
    <row r="312">
      <c r="B312" s="6" t="s">
        <v>348</v>
      </c>
      <c r="C312" s="6" t="s">
        <v>20</v>
      </c>
      <c r="D312" s="6" t="s">
        <v>39</v>
      </c>
      <c r="E312" s="6"/>
      <c r="F312" s="6" t="s">
        <v>28</v>
      </c>
      <c r="G312" s="6" t="s">
        <v>18</v>
      </c>
      <c r="H312" s="7">
        <v>45233.0</v>
      </c>
      <c r="I312" s="8">
        <v>101.0</v>
      </c>
      <c r="J312" s="8">
        <v>139.22</v>
      </c>
      <c r="K312" s="8">
        <v>72.94</v>
      </c>
      <c r="L312" s="3">
        <f t="shared" si="1"/>
        <v>6694.28</v>
      </c>
    </row>
    <row r="313">
      <c r="B313" s="6" t="s">
        <v>349</v>
      </c>
      <c r="C313" s="6" t="s">
        <v>61</v>
      </c>
      <c r="D313" s="6" t="s">
        <v>63</v>
      </c>
      <c r="E313" s="6"/>
      <c r="F313" s="6" t="s">
        <v>17</v>
      </c>
      <c r="G313" s="6" t="s">
        <v>33</v>
      </c>
      <c r="H313" s="7">
        <v>45234.0</v>
      </c>
      <c r="I313" s="8">
        <v>157.0</v>
      </c>
      <c r="J313" s="6"/>
      <c r="K313" s="8">
        <v>274.99</v>
      </c>
      <c r="L313" s="3">
        <f t="shared" si="1"/>
        <v>-43173.43</v>
      </c>
    </row>
    <row r="314">
      <c r="B314" s="6" t="s">
        <v>350</v>
      </c>
      <c r="C314" s="6" t="s">
        <v>20</v>
      </c>
      <c r="D314" s="6" t="s">
        <v>15</v>
      </c>
      <c r="E314" s="6" t="s">
        <v>22</v>
      </c>
      <c r="F314" s="6" t="s">
        <v>17</v>
      </c>
      <c r="G314" s="6" t="s">
        <v>18</v>
      </c>
      <c r="H314" s="7">
        <v>45235.0</v>
      </c>
      <c r="I314" s="8">
        <v>170.0</v>
      </c>
      <c r="J314" s="8">
        <v>341.67</v>
      </c>
      <c r="K314" s="8">
        <v>396.47</v>
      </c>
      <c r="L314" s="3">
        <f t="shared" si="1"/>
        <v>-9316</v>
      </c>
    </row>
    <row r="315">
      <c r="B315" s="6" t="s">
        <v>351</v>
      </c>
      <c r="C315" s="6" t="s">
        <v>61</v>
      </c>
      <c r="D315" s="6" t="s">
        <v>63</v>
      </c>
      <c r="E315" s="6" t="s">
        <v>55</v>
      </c>
      <c r="F315" s="6" t="s">
        <v>17</v>
      </c>
      <c r="G315" s="6" t="s">
        <v>18</v>
      </c>
      <c r="H315" s="7">
        <v>45236.0</v>
      </c>
      <c r="I315" s="8">
        <v>211.0</v>
      </c>
      <c r="J315" s="8">
        <v>119.26</v>
      </c>
      <c r="K315" s="8">
        <v>299.39</v>
      </c>
      <c r="L315" s="3">
        <f t="shared" si="1"/>
        <v>-38007.43</v>
      </c>
    </row>
    <row r="316">
      <c r="B316" s="6" t="s">
        <v>352</v>
      </c>
      <c r="C316" s="6" t="s">
        <v>20</v>
      </c>
      <c r="D316" s="6" t="s">
        <v>21</v>
      </c>
      <c r="E316" s="6" t="s">
        <v>32</v>
      </c>
      <c r="F316" s="6" t="s">
        <v>17</v>
      </c>
      <c r="G316" s="6" t="s">
        <v>33</v>
      </c>
      <c r="H316" s="7">
        <v>45237.0</v>
      </c>
      <c r="I316" s="8">
        <v>433.0</v>
      </c>
      <c r="J316" s="8">
        <v>231.15</v>
      </c>
      <c r="K316" s="8">
        <v>296.51</v>
      </c>
      <c r="L316" s="3">
        <f t="shared" si="1"/>
        <v>-28300.88</v>
      </c>
    </row>
    <row r="317">
      <c r="B317" s="6" t="s">
        <v>353</v>
      </c>
      <c r="C317" s="6" t="s">
        <v>14</v>
      </c>
      <c r="D317" s="6" t="s">
        <v>63</v>
      </c>
      <c r="E317" s="6" t="s">
        <v>16</v>
      </c>
      <c r="F317" s="6" t="s">
        <v>28</v>
      </c>
      <c r="G317" s="6" t="s">
        <v>23</v>
      </c>
      <c r="H317" s="7">
        <v>45238.0</v>
      </c>
      <c r="I317" s="8">
        <v>425.0</v>
      </c>
      <c r="J317" s="8">
        <v>99.21</v>
      </c>
      <c r="K317" s="8">
        <v>380.22</v>
      </c>
      <c r="L317" s="3">
        <f t="shared" si="1"/>
        <v>-119429.25</v>
      </c>
    </row>
    <row r="318">
      <c r="B318" s="6" t="s">
        <v>354</v>
      </c>
      <c r="C318" s="6" t="s">
        <v>20</v>
      </c>
      <c r="D318" s="6" t="s">
        <v>63</v>
      </c>
      <c r="E318" s="6" t="s">
        <v>27</v>
      </c>
      <c r="F318" s="6" t="s">
        <v>28</v>
      </c>
      <c r="G318" s="6" t="s">
        <v>33</v>
      </c>
      <c r="H318" s="7">
        <v>45239.0</v>
      </c>
      <c r="I318" s="8">
        <v>251.0</v>
      </c>
      <c r="J318" s="8">
        <v>30.91</v>
      </c>
      <c r="K318" s="8">
        <v>82.77</v>
      </c>
      <c r="L318" s="3">
        <f t="shared" si="1"/>
        <v>-13016.86</v>
      </c>
    </row>
    <row r="319">
      <c r="B319" s="6" t="s">
        <v>355</v>
      </c>
      <c r="C319" s="6" t="s">
        <v>14</v>
      </c>
      <c r="D319" s="6" t="s">
        <v>31</v>
      </c>
      <c r="E319" s="6" t="s">
        <v>22</v>
      </c>
      <c r="F319" s="6" t="s">
        <v>17</v>
      </c>
      <c r="G319" s="6" t="s">
        <v>18</v>
      </c>
      <c r="H319" s="7">
        <v>45240.0</v>
      </c>
      <c r="I319" s="6"/>
      <c r="J319" s="8">
        <v>192.35</v>
      </c>
      <c r="K319" s="8">
        <v>227.09</v>
      </c>
      <c r="L319" s="3">
        <f t="shared" si="1"/>
        <v>0</v>
      </c>
    </row>
    <row r="320">
      <c r="B320" s="6" t="s">
        <v>356</v>
      </c>
      <c r="C320" s="6" t="s">
        <v>14</v>
      </c>
      <c r="D320" s="6" t="s">
        <v>31</v>
      </c>
      <c r="E320" s="6" t="s">
        <v>16</v>
      </c>
      <c r="F320" s="6" t="s">
        <v>17</v>
      </c>
      <c r="G320" s="6" t="s">
        <v>18</v>
      </c>
      <c r="H320" s="7">
        <v>45241.0</v>
      </c>
      <c r="I320" s="8">
        <v>11.0</v>
      </c>
      <c r="J320" s="8">
        <v>184.66</v>
      </c>
      <c r="K320" s="8">
        <v>391.9</v>
      </c>
      <c r="L320" s="3">
        <f t="shared" si="1"/>
        <v>-2279.64</v>
      </c>
    </row>
    <row r="321">
      <c r="B321" s="6" t="s">
        <v>357</v>
      </c>
      <c r="C321" s="6" t="s">
        <v>20</v>
      </c>
      <c r="D321" s="6" t="s">
        <v>31</v>
      </c>
      <c r="E321" s="6" t="s">
        <v>27</v>
      </c>
      <c r="F321" s="6" t="s">
        <v>17</v>
      </c>
      <c r="G321" s="6" t="s">
        <v>33</v>
      </c>
      <c r="H321" s="7">
        <v>45242.0</v>
      </c>
      <c r="I321" s="8">
        <v>234.0</v>
      </c>
      <c r="J321" s="8">
        <v>497.76</v>
      </c>
      <c r="K321" s="8">
        <v>67.79</v>
      </c>
      <c r="L321" s="3">
        <f t="shared" si="1"/>
        <v>100612.98</v>
      </c>
    </row>
    <row r="322">
      <c r="B322" s="6" t="s">
        <v>358</v>
      </c>
      <c r="C322" s="6" t="s">
        <v>14</v>
      </c>
      <c r="D322" s="6" t="s">
        <v>63</v>
      </c>
      <c r="E322" s="6" t="s">
        <v>27</v>
      </c>
      <c r="F322" s="6" t="s">
        <v>17</v>
      </c>
      <c r="G322" s="6" t="s">
        <v>23</v>
      </c>
      <c r="H322" s="7">
        <v>45243.0</v>
      </c>
      <c r="I322" s="6"/>
      <c r="J322" s="8">
        <v>225.94</v>
      </c>
      <c r="K322" s="8">
        <v>280.7</v>
      </c>
      <c r="L322" s="3">
        <f t="shared" si="1"/>
        <v>0</v>
      </c>
    </row>
    <row r="323">
      <c r="B323" s="6" t="s">
        <v>359</v>
      </c>
      <c r="C323" s="6" t="s">
        <v>26</v>
      </c>
      <c r="D323" s="6" t="s">
        <v>39</v>
      </c>
      <c r="E323" s="6" t="s">
        <v>55</v>
      </c>
      <c r="F323" s="6" t="s">
        <v>17</v>
      </c>
      <c r="G323" s="6" t="s">
        <v>23</v>
      </c>
      <c r="H323" s="7">
        <v>45244.0</v>
      </c>
      <c r="I323" s="8">
        <v>242.0</v>
      </c>
      <c r="J323" s="8">
        <v>170.12</v>
      </c>
      <c r="K323" s="8">
        <v>235.15</v>
      </c>
      <c r="L323" s="3">
        <f t="shared" si="1"/>
        <v>-15737.26</v>
      </c>
    </row>
    <row r="324">
      <c r="B324" s="6" t="s">
        <v>360</v>
      </c>
      <c r="C324" s="6" t="s">
        <v>14</v>
      </c>
      <c r="D324" s="6" t="s">
        <v>63</v>
      </c>
      <c r="E324" s="6" t="s">
        <v>32</v>
      </c>
      <c r="F324" s="6" t="s">
        <v>17</v>
      </c>
      <c r="G324" s="6" t="s">
        <v>18</v>
      </c>
      <c r="H324" s="7">
        <v>45245.0</v>
      </c>
      <c r="I324" s="8">
        <v>470.0</v>
      </c>
      <c r="J324" s="8">
        <v>292.34</v>
      </c>
      <c r="K324" s="8">
        <v>235.42</v>
      </c>
      <c r="L324" s="3">
        <f t="shared" si="1"/>
        <v>26752.4</v>
      </c>
    </row>
    <row r="325">
      <c r="B325" s="6" t="s">
        <v>361</v>
      </c>
      <c r="C325" s="6" t="s">
        <v>61</v>
      </c>
      <c r="D325" s="6" t="s">
        <v>39</v>
      </c>
      <c r="E325" s="6" t="s">
        <v>32</v>
      </c>
      <c r="F325" s="6" t="s">
        <v>28</v>
      </c>
      <c r="G325" s="6" t="s">
        <v>18</v>
      </c>
      <c r="H325" s="7">
        <v>45246.0</v>
      </c>
      <c r="I325" s="8">
        <v>423.0</v>
      </c>
      <c r="J325" s="8">
        <v>48.94</v>
      </c>
      <c r="K325" s="8">
        <v>279.67</v>
      </c>
      <c r="L325" s="3">
        <f t="shared" si="1"/>
        <v>-97598.79</v>
      </c>
    </row>
    <row r="326">
      <c r="B326" s="6" t="s">
        <v>362</v>
      </c>
      <c r="C326" s="6" t="s">
        <v>20</v>
      </c>
      <c r="D326" s="6" t="s">
        <v>39</v>
      </c>
      <c r="E326" s="6" t="s">
        <v>16</v>
      </c>
      <c r="F326" s="6" t="s">
        <v>17</v>
      </c>
      <c r="G326" s="6" t="s">
        <v>23</v>
      </c>
      <c r="H326" s="7">
        <v>45247.0</v>
      </c>
      <c r="I326" s="8">
        <v>426.0</v>
      </c>
      <c r="J326" s="8">
        <v>481.02</v>
      </c>
      <c r="K326" s="8">
        <v>371.99</v>
      </c>
      <c r="L326" s="3">
        <f t="shared" si="1"/>
        <v>46446.78</v>
      </c>
    </row>
    <row r="327">
      <c r="B327" s="6" t="s">
        <v>363</v>
      </c>
      <c r="C327" s="6" t="s">
        <v>26</v>
      </c>
      <c r="D327" s="6" t="s">
        <v>31</v>
      </c>
      <c r="E327" s="6" t="s">
        <v>32</v>
      </c>
      <c r="F327" s="6" t="s">
        <v>28</v>
      </c>
      <c r="G327" s="6" t="s">
        <v>33</v>
      </c>
      <c r="H327" s="7">
        <v>45248.0</v>
      </c>
      <c r="I327" s="8">
        <v>86.0</v>
      </c>
      <c r="J327" s="8">
        <v>319.31</v>
      </c>
      <c r="K327" s="8">
        <v>313.47</v>
      </c>
      <c r="L327" s="3">
        <f t="shared" si="1"/>
        <v>502.24</v>
      </c>
    </row>
    <row r="328">
      <c r="B328" s="6" t="s">
        <v>364</v>
      </c>
      <c r="C328" s="6" t="s">
        <v>20</v>
      </c>
      <c r="D328" s="6" t="s">
        <v>15</v>
      </c>
      <c r="E328" s="6" t="s">
        <v>22</v>
      </c>
      <c r="F328" s="6" t="s">
        <v>28</v>
      </c>
      <c r="G328" s="6" t="s">
        <v>18</v>
      </c>
      <c r="H328" s="7">
        <v>45249.0</v>
      </c>
      <c r="I328" s="8">
        <v>125.0</v>
      </c>
      <c r="J328" s="8">
        <v>378.64</v>
      </c>
      <c r="K328" s="8">
        <v>24.34</v>
      </c>
      <c r="L328" s="3">
        <f t="shared" si="1"/>
        <v>44287.5</v>
      </c>
    </row>
    <row r="329">
      <c r="B329" s="6" t="s">
        <v>365</v>
      </c>
      <c r="C329" s="6" t="s">
        <v>61</v>
      </c>
      <c r="D329" s="6" t="s">
        <v>21</v>
      </c>
      <c r="E329" s="6"/>
      <c r="F329" s="6" t="s">
        <v>17</v>
      </c>
      <c r="G329" s="6" t="s">
        <v>18</v>
      </c>
      <c r="H329" s="7">
        <v>45250.0</v>
      </c>
      <c r="I329" s="8">
        <v>163.0</v>
      </c>
      <c r="J329" s="8">
        <v>89.39</v>
      </c>
      <c r="K329" s="8">
        <v>341.39</v>
      </c>
      <c r="L329" s="3">
        <f t="shared" si="1"/>
        <v>-41076</v>
      </c>
    </row>
    <row r="330">
      <c r="B330" s="6" t="s">
        <v>366</v>
      </c>
      <c r="C330" s="6" t="s">
        <v>61</v>
      </c>
      <c r="D330" s="6" t="s">
        <v>31</v>
      </c>
      <c r="E330" s="6" t="s">
        <v>16</v>
      </c>
      <c r="F330" s="6" t="s">
        <v>28</v>
      </c>
      <c r="G330" s="6" t="s">
        <v>23</v>
      </c>
      <c r="H330" s="7">
        <v>45251.0</v>
      </c>
      <c r="I330" s="8">
        <v>415.0</v>
      </c>
      <c r="J330" s="8">
        <v>207.69</v>
      </c>
      <c r="K330" s="8">
        <v>91.77</v>
      </c>
      <c r="L330" s="3">
        <f t="shared" si="1"/>
        <v>48106.8</v>
      </c>
    </row>
    <row r="331">
      <c r="B331" s="6" t="s">
        <v>367</v>
      </c>
      <c r="C331" s="6" t="s">
        <v>61</v>
      </c>
      <c r="D331" s="6" t="s">
        <v>31</v>
      </c>
      <c r="E331" s="6" t="s">
        <v>32</v>
      </c>
      <c r="F331" s="6" t="s">
        <v>28</v>
      </c>
      <c r="G331" s="6" t="s">
        <v>33</v>
      </c>
      <c r="H331" s="7">
        <v>45252.0</v>
      </c>
      <c r="I331" s="8">
        <v>112.0</v>
      </c>
      <c r="J331" s="8">
        <v>214.23</v>
      </c>
      <c r="K331" s="8">
        <v>152.01</v>
      </c>
      <c r="L331" s="3">
        <f t="shared" si="1"/>
        <v>6968.64</v>
      </c>
    </row>
    <row r="332">
      <c r="B332" s="6" t="s">
        <v>368</v>
      </c>
      <c r="C332" s="6" t="s">
        <v>14</v>
      </c>
      <c r="D332" s="6" t="s">
        <v>15</v>
      </c>
      <c r="E332" s="6" t="s">
        <v>22</v>
      </c>
      <c r="F332" s="6" t="s">
        <v>28</v>
      </c>
      <c r="G332" s="6" t="s">
        <v>23</v>
      </c>
      <c r="H332" s="7">
        <v>45253.0</v>
      </c>
      <c r="I332" s="8">
        <v>203.0</v>
      </c>
      <c r="J332" s="8">
        <v>411.79</v>
      </c>
      <c r="K332" s="8">
        <v>185.77</v>
      </c>
      <c r="L332" s="3">
        <f t="shared" si="1"/>
        <v>45882.06</v>
      </c>
    </row>
    <row r="333">
      <c r="B333" s="6" t="s">
        <v>369</v>
      </c>
      <c r="C333" s="6" t="s">
        <v>14</v>
      </c>
      <c r="D333" s="6" t="s">
        <v>21</v>
      </c>
      <c r="E333" s="6" t="s">
        <v>55</v>
      </c>
      <c r="F333" s="6" t="s">
        <v>28</v>
      </c>
      <c r="G333" s="6" t="s">
        <v>33</v>
      </c>
      <c r="H333" s="7">
        <v>45254.0</v>
      </c>
      <c r="I333" s="6"/>
      <c r="J333" s="8">
        <v>5.61</v>
      </c>
      <c r="K333" s="8">
        <v>193.4</v>
      </c>
      <c r="L333" s="3">
        <f t="shared" si="1"/>
        <v>0</v>
      </c>
    </row>
    <row r="334">
      <c r="B334" s="6" t="s">
        <v>370</v>
      </c>
      <c r="C334" s="6" t="s">
        <v>20</v>
      </c>
      <c r="D334" s="6" t="s">
        <v>63</v>
      </c>
      <c r="E334" s="6" t="s">
        <v>16</v>
      </c>
      <c r="F334" s="6" t="s">
        <v>28</v>
      </c>
      <c r="G334" s="6" t="s">
        <v>33</v>
      </c>
      <c r="H334" s="7">
        <v>45255.0</v>
      </c>
      <c r="I334" s="8">
        <v>368.0</v>
      </c>
      <c r="J334" s="8">
        <v>153.92</v>
      </c>
      <c r="K334" s="8">
        <v>175.2</v>
      </c>
      <c r="L334" s="3">
        <f t="shared" si="1"/>
        <v>-7831.04</v>
      </c>
    </row>
    <row r="335">
      <c r="B335" s="6" t="s">
        <v>371</v>
      </c>
      <c r="C335" s="6" t="s">
        <v>20</v>
      </c>
      <c r="D335" s="6" t="s">
        <v>63</v>
      </c>
      <c r="E335" s="6" t="s">
        <v>55</v>
      </c>
      <c r="F335" s="6" t="s">
        <v>28</v>
      </c>
      <c r="G335" s="6" t="s">
        <v>33</v>
      </c>
      <c r="H335" s="7">
        <v>45256.0</v>
      </c>
      <c r="I335" s="8">
        <v>99.0</v>
      </c>
      <c r="J335" s="8">
        <v>490.71</v>
      </c>
      <c r="K335" s="8">
        <v>375.07</v>
      </c>
      <c r="L335" s="3">
        <f t="shared" si="1"/>
        <v>11448.36</v>
      </c>
    </row>
    <row r="336">
      <c r="B336" s="6" t="s">
        <v>372</v>
      </c>
      <c r="C336" s="6" t="s">
        <v>26</v>
      </c>
      <c r="D336" s="6" t="s">
        <v>31</v>
      </c>
      <c r="E336" s="6" t="s">
        <v>55</v>
      </c>
      <c r="F336" s="6" t="s">
        <v>17</v>
      </c>
      <c r="G336" s="6" t="s">
        <v>18</v>
      </c>
      <c r="H336" s="7">
        <v>45257.0</v>
      </c>
      <c r="I336" s="8">
        <v>183.0</v>
      </c>
      <c r="J336" s="8">
        <v>240.07</v>
      </c>
      <c r="K336" s="8">
        <v>283.0</v>
      </c>
      <c r="L336" s="3">
        <f t="shared" si="1"/>
        <v>-7856.19</v>
      </c>
    </row>
    <row r="337">
      <c r="B337" s="6" t="s">
        <v>373</v>
      </c>
      <c r="C337" s="6"/>
      <c r="D337" s="6" t="s">
        <v>21</v>
      </c>
      <c r="E337" s="6" t="s">
        <v>55</v>
      </c>
      <c r="F337" s="6" t="s">
        <v>28</v>
      </c>
      <c r="G337" s="6" t="s">
        <v>23</v>
      </c>
      <c r="H337" s="7">
        <v>45258.0</v>
      </c>
      <c r="I337" s="8">
        <v>131.0</v>
      </c>
      <c r="J337" s="8">
        <v>194.35</v>
      </c>
      <c r="K337" s="8">
        <v>253.21</v>
      </c>
      <c r="L337" s="3">
        <f t="shared" si="1"/>
        <v>-7710.66</v>
      </c>
    </row>
    <row r="338">
      <c r="B338" s="6" t="s">
        <v>374</v>
      </c>
      <c r="C338" s="6" t="s">
        <v>20</v>
      </c>
      <c r="D338" s="6" t="s">
        <v>31</v>
      </c>
      <c r="E338" s="6" t="s">
        <v>27</v>
      </c>
      <c r="F338" s="6" t="s">
        <v>28</v>
      </c>
      <c r="G338" s="6" t="s">
        <v>23</v>
      </c>
      <c r="H338" s="7">
        <v>45259.0</v>
      </c>
      <c r="I338" s="8">
        <v>152.0</v>
      </c>
      <c r="J338" s="8">
        <v>64.32</v>
      </c>
      <c r="K338" s="8">
        <v>21.84</v>
      </c>
      <c r="L338" s="3">
        <f t="shared" si="1"/>
        <v>6456.96</v>
      </c>
    </row>
    <row r="339">
      <c r="B339" s="6" t="s">
        <v>375</v>
      </c>
      <c r="C339" s="6" t="s">
        <v>14</v>
      </c>
      <c r="D339" s="6" t="s">
        <v>39</v>
      </c>
      <c r="E339" s="6" t="s">
        <v>27</v>
      </c>
      <c r="F339" s="6" t="s">
        <v>28</v>
      </c>
      <c r="G339" s="6" t="s">
        <v>33</v>
      </c>
      <c r="H339" s="7">
        <v>45260.0</v>
      </c>
      <c r="I339" s="8">
        <v>491.0</v>
      </c>
      <c r="J339" s="8">
        <v>487.21</v>
      </c>
      <c r="K339" s="8">
        <v>361.76</v>
      </c>
      <c r="L339" s="3">
        <f t="shared" si="1"/>
        <v>61595.95</v>
      </c>
    </row>
    <row r="340">
      <c r="B340" s="6" t="s">
        <v>376</v>
      </c>
      <c r="C340" s="6" t="s">
        <v>61</v>
      </c>
      <c r="D340" s="6" t="s">
        <v>31</v>
      </c>
      <c r="E340" s="6" t="s">
        <v>55</v>
      </c>
      <c r="F340" s="6" t="s">
        <v>17</v>
      </c>
      <c r="G340" s="6" t="s">
        <v>18</v>
      </c>
      <c r="H340" s="7">
        <v>45261.0</v>
      </c>
      <c r="I340" s="8">
        <v>115.0</v>
      </c>
      <c r="J340" s="8">
        <v>14.91</v>
      </c>
      <c r="K340" s="8">
        <v>363.94</v>
      </c>
      <c r="L340" s="3">
        <f t="shared" si="1"/>
        <v>-40138.45</v>
      </c>
    </row>
    <row r="341">
      <c r="B341" s="6" t="s">
        <v>377</v>
      </c>
      <c r="C341" s="6" t="s">
        <v>20</v>
      </c>
      <c r="D341" s="6" t="s">
        <v>31</v>
      </c>
      <c r="E341" s="6" t="s">
        <v>16</v>
      </c>
      <c r="F341" s="6" t="s">
        <v>28</v>
      </c>
      <c r="G341" s="6" t="s">
        <v>18</v>
      </c>
      <c r="H341" s="7">
        <v>45262.0</v>
      </c>
      <c r="I341" s="8">
        <v>384.0</v>
      </c>
      <c r="J341" s="8">
        <v>369.9</v>
      </c>
      <c r="K341" s="8">
        <v>312.52</v>
      </c>
      <c r="L341" s="3">
        <f t="shared" si="1"/>
        <v>22033.92</v>
      </c>
    </row>
    <row r="342">
      <c r="B342" s="6" t="s">
        <v>378</v>
      </c>
      <c r="C342" s="6" t="s">
        <v>26</v>
      </c>
      <c r="D342" s="6" t="s">
        <v>63</v>
      </c>
      <c r="E342" s="6" t="s">
        <v>22</v>
      </c>
      <c r="F342" s="6" t="s">
        <v>17</v>
      </c>
      <c r="G342" s="6" t="s">
        <v>23</v>
      </c>
      <c r="H342" s="7">
        <v>45263.0</v>
      </c>
      <c r="I342" s="8">
        <v>437.0</v>
      </c>
      <c r="J342" s="8">
        <v>385.46</v>
      </c>
      <c r="K342" s="8">
        <v>4.8</v>
      </c>
      <c r="L342" s="3">
        <f t="shared" si="1"/>
        <v>166348.42</v>
      </c>
    </row>
    <row r="343">
      <c r="B343" s="6" t="s">
        <v>379</v>
      </c>
      <c r="C343" s="6" t="s">
        <v>14</v>
      </c>
      <c r="D343" s="6" t="s">
        <v>63</v>
      </c>
      <c r="E343" s="6" t="s">
        <v>22</v>
      </c>
      <c r="F343" s="6" t="s">
        <v>28</v>
      </c>
      <c r="G343" s="6" t="s">
        <v>18</v>
      </c>
      <c r="H343" s="7">
        <v>45264.0</v>
      </c>
      <c r="I343" s="8">
        <v>314.0</v>
      </c>
      <c r="J343" s="8">
        <v>125.61</v>
      </c>
      <c r="K343" s="8">
        <v>24.8</v>
      </c>
      <c r="L343" s="3">
        <f t="shared" si="1"/>
        <v>31654.34</v>
      </c>
    </row>
    <row r="344">
      <c r="B344" s="6" t="s">
        <v>380</v>
      </c>
      <c r="C344" s="6" t="s">
        <v>20</v>
      </c>
      <c r="D344" s="6" t="s">
        <v>63</v>
      </c>
      <c r="E344" s="6" t="s">
        <v>32</v>
      </c>
      <c r="F344" s="6" t="s">
        <v>17</v>
      </c>
      <c r="G344" s="6" t="s">
        <v>18</v>
      </c>
      <c r="H344" s="7">
        <v>45265.0</v>
      </c>
      <c r="I344" s="8">
        <v>369.0</v>
      </c>
      <c r="J344" s="8">
        <v>337.42</v>
      </c>
      <c r="K344" s="8">
        <v>91.64</v>
      </c>
      <c r="L344" s="3">
        <f t="shared" si="1"/>
        <v>90692.82</v>
      </c>
    </row>
    <row r="345">
      <c r="B345" s="6" t="s">
        <v>381</v>
      </c>
      <c r="C345" s="6" t="s">
        <v>20</v>
      </c>
      <c r="D345" s="6" t="s">
        <v>39</v>
      </c>
      <c r="E345" s="6" t="s">
        <v>16</v>
      </c>
      <c r="F345" s="6" t="s">
        <v>17</v>
      </c>
      <c r="G345" s="6" t="s">
        <v>33</v>
      </c>
      <c r="H345" s="7">
        <v>45266.0</v>
      </c>
      <c r="I345" s="8">
        <v>468.0</v>
      </c>
      <c r="J345" s="8">
        <v>51.0</v>
      </c>
      <c r="K345" s="8">
        <v>54.28</v>
      </c>
      <c r="L345" s="3">
        <f t="shared" si="1"/>
        <v>-1535.04</v>
      </c>
    </row>
    <row r="346">
      <c r="B346" s="6" t="s">
        <v>382</v>
      </c>
      <c r="C346" s="6" t="s">
        <v>14</v>
      </c>
      <c r="D346" s="6" t="s">
        <v>63</v>
      </c>
      <c r="E346" s="6" t="s">
        <v>27</v>
      </c>
      <c r="F346" s="6" t="s">
        <v>28</v>
      </c>
      <c r="G346" s="6" t="s">
        <v>18</v>
      </c>
      <c r="H346" s="7">
        <v>45267.0</v>
      </c>
      <c r="I346" s="8">
        <v>326.0</v>
      </c>
      <c r="J346" s="8">
        <v>132.24</v>
      </c>
      <c r="K346" s="8">
        <v>160.74</v>
      </c>
      <c r="L346" s="3">
        <f t="shared" si="1"/>
        <v>-9291</v>
      </c>
    </row>
    <row r="347">
      <c r="B347" s="6" t="s">
        <v>383</v>
      </c>
      <c r="C347" s="6" t="s">
        <v>20</v>
      </c>
      <c r="D347" s="6" t="s">
        <v>21</v>
      </c>
      <c r="E347" s="6" t="s">
        <v>55</v>
      </c>
      <c r="F347" s="6" t="s">
        <v>28</v>
      </c>
      <c r="G347" s="6" t="s">
        <v>33</v>
      </c>
      <c r="H347" s="7">
        <v>45268.0</v>
      </c>
      <c r="I347" s="8">
        <v>460.0</v>
      </c>
      <c r="J347" s="8">
        <v>395.01</v>
      </c>
      <c r="K347" s="8">
        <v>369.2</v>
      </c>
      <c r="L347" s="3">
        <f t="shared" si="1"/>
        <v>11872.6</v>
      </c>
    </row>
    <row r="348">
      <c r="B348" s="6" t="s">
        <v>384</v>
      </c>
      <c r="C348" s="6" t="s">
        <v>14</v>
      </c>
      <c r="D348" s="6" t="s">
        <v>15</v>
      </c>
      <c r="E348" s="6" t="s">
        <v>32</v>
      </c>
      <c r="F348" s="6" t="s">
        <v>17</v>
      </c>
      <c r="G348" s="6" t="s">
        <v>23</v>
      </c>
      <c r="H348" s="7">
        <v>45269.0</v>
      </c>
      <c r="I348" s="8">
        <v>132.0</v>
      </c>
      <c r="J348" s="8">
        <v>433.02</v>
      </c>
      <c r="K348" s="8">
        <v>189.88</v>
      </c>
      <c r="L348" s="3">
        <f t="shared" si="1"/>
        <v>32094.48</v>
      </c>
    </row>
    <row r="349">
      <c r="B349" s="6" t="s">
        <v>385</v>
      </c>
      <c r="C349" s="6" t="s">
        <v>61</v>
      </c>
      <c r="D349" s="6" t="s">
        <v>21</v>
      </c>
      <c r="E349" s="6" t="s">
        <v>22</v>
      </c>
      <c r="F349" s="6" t="s">
        <v>28</v>
      </c>
      <c r="G349" s="6" t="s">
        <v>18</v>
      </c>
      <c r="H349" s="7">
        <v>45270.0</v>
      </c>
      <c r="I349" s="8">
        <v>399.0</v>
      </c>
      <c r="J349" s="8">
        <v>306.2</v>
      </c>
      <c r="K349" s="8">
        <v>7.33</v>
      </c>
      <c r="L349" s="3">
        <f t="shared" si="1"/>
        <v>119249.13</v>
      </c>
    </row>
    <row r="350">
      <c r="B350" s="6" t="s">
        <v>386</v>
      </c>
      <c r="C350" s="6" t="s">
        <v>14</v>
      </c>
      <c r="D350" s="6" t="s">
        <v>21</v>
      </c>
      <c r="E350" s="6" t="s">
        <v>27</v>
      </c>
      <c r="F350" s="6" t="s">
        <v>17</v>
      </c>
      <c r="G350" s="6" t="s">
        <v>23</v>
      </c>
      <c r="H350" s="7">
        <v>45271.0</v>
      </c>
      <c r="I350" s="8">
        <v>18.0</v>
      </c>
      <c r="J350" s="8">
        <v>255.89</v>
      </c>
      <c r="K350" s="8">
        <v>114.53</v>
      </c>
      <c r="L350" s="3">
        <f t="shared" si="1"/>
        <v>2544.48</v>
      </c>
    </row>
    <row r="351">
      <c r="B351" s="6" t="s">
        <v>387</v>
      </c>
      <c r="C351" s="6" t="s">
        <v>14</v>
      </c>
      <c r="D351" s="6" t="s">
        <v>63</v>
      </c>
      <c r="E351" s="6" t="s">
        <v>27</v>
      </c>
      <c r="F351" s="6" t="s">
        <v>17</v>
      </c>
      <c r="G351" s="6" t="s">
        <v>23</v>
      </c>
      <c r="H351" s="7">
        <v>45272.0</v>
      </c>
      <c r="I351" s="8">
        <v>271.0</v>
      </c>
      <c r="J351" s="8">
        <v>83.86</v>
      </c>
      <c r="K351" s="8">
        <v>19.75</v>
      </c>
      <c r="L351" s="3">
        <f t="shared" si="1"/>
        <v>17373.81</v>
      </c>
    </row>
    <row r="352">
      <c r="B352" s="6" t="s">
        <v>388</v>
      </c>
      <c r="C352" s="6"/>
      <c r="D352" s="6" t="s">
        <v>15</v>
      </c>
      <c r="E352" s="6" t="s">
        <v>55</v>
      </c>
      <c r="F352" s="6" t="s">
        <v>17</v>
      </c>
      <c r="G352" s="6" t="s">
        <v>18</v>
      </c>
      <c r="H352" s="7">
        <v>45273.0</v>
      </c>
      <c r="I352" s="8">
        <v>82.0</v>
      </c>
      <c r="J352" s="8">
        <v>36.24</v>
      </c>
      <c r="K352" s="8">
        <v>16.44</v>
      </c>
      <c r="L352" s="3">
        <f t="shared" si="1"/>
        <v>1623.6</v>
      </c>
    </row>
    <row r="353">
      <c r="B353" s="6" t="s">
        <v>389</v>
      </c>
      <c r="C353" s="6" t="s">
        <v>20</v>
      </c>
      <c r="D353" s="6" t="s">
        <v>15</v>
      </c>
      <c r="E353" s="6" t="s">
        <v>22</v>
      </c>
      <c r="F353" s="6" t="s">
        <v>17</v>
      </c>
      <c r="G353" s="6" t="s">
        <v>18</v>
      </c>
      <c r="H353" s="7">
        <v>45274.0</v>
      </c>
      <c r="I353" s="8">
        <v>368.0</v>
      </c>
      <c r="J353" s="8">
        <v>63.24</v>
      </c>
      <c r="K353" s="8">
        <v>111.74</v>
      </c>
      <c r="L353" s="3">
        <f t="shared" si="1"/>
        <v>-17848</v>
      </c>
    </row>
    <row r="354">
      <c r="B354" s="6" t="s">
        <v>390</v>
      </c>
      <c r="C354" s="6" t="s">
        <v>20</v>
      </c>
      <c r="D354" s="6" t="s">
        <v>15</v>
      </c>
      <c r="E354" s="6" t="s">
        <v>16</v>
      </c>
      <c r="F354" s="6" t="s">
        <v>17</v>
      </c>
      <c r="G354" s="6" t="s">
        <v>23</v>
      </c>
      <c r="H354" s="7">
        <v>45275.0</v>
      </c>
      <c r="I354" s="8">
        <v>232.0</v>
      </c>
      <c r="J354" s="8">
        <v>117.54</v>
      </c>
      <c r="K354" s="8">
        <v>111.69</v>
      </c>
      <c r="L354" s="3">
        <f t="shared" si="1"/>
        <v>1357.2</v>
      </c>
    </row>
    <row r="355">
      <c r="B355" s="6" t="s">
        <v>391</v>
      </c>
      <c r="C355" s="6" t="s">
        <v>14</v>
      </c>
      <c r="D355" s="6" t="s">
        <v>39</v>
      </c>
      <c r="E355" s="6" t="s">
        <v>27</v>
      </c>
      <c r="F355" s="6" t="s">
        <v>28</v>
      </c>
      <c r="G355" s="6" t="s">
        <v>18</v>
      </c>
      <c r="H355" s="7">
        <v>45276.0</v>
      </c>
      <c r="I355" s="8">
        <v>425.0</v>
      </c>
      <c r="J355" s="8">
        <v>174.13</v>
      </c>
      <c r="K355" s="8">
        <v>315.28</v>
      </c>
      <c r="L355" s="3">
        <f t="shared" si="1"/>
        <v>-59988.75</v>
      </c>
    </row>
  </sheetData>
  <customSheetViews>
    <customSheetView guid="{0366369C-4232-4545-ABDD-3EE3A2A56F08}" filter="1" showAutoFilter="1">
      <autoFilter ref="$A$5:$L$355"/>
    </customSheetView>
  </customSheetView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25"/>
    <col customWidth="1" min="2" max="2" width="20.5"/>
    <col customWidth="1" min="3" max="3" width="15.88"/>
    <col customWidth="1" min="5" max="5" width="2.88"/>
  </cols>
  <sheetData>
    <row r="1"/>
    <row r="2"/>
    <row r="3"/>
    <row r="4"/>
    <row r="5"/>
    <row r="6"/>
  </sheetData>
  <drawing r:id="rId2"/>
  <extLst>
    <ext uri="{3A4CF648-6AED-40f4-86FF-DC5316D8AED3}">
      <x14:slicerList>
        <x14:slicer r:id="rId3"/>
      </x14:slicerList>
    </ext>
  </extLst>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5" t="s">
        <v>450</v>
      </c>
      <c r="B3" s="5" t="s">
        <v>451</v>
      </c>
      <c r="C3" s="23"/>
      <c r="D3" s="23"/>
      <c r="E3" s="23"/>
      <c r="F3" s="23"/>
      <c r="G3" s="24"/>
      <c r="H3" s="24"/>
    </row>
    <row r="5">
      <c r="A5" s="15" t="s">
        <v>12</v>
      </c>
      <c r="B5" s="4" t="s">
        <v>2</v>
      </c>
      <c r="C5" s="4" t="s">
        <v>3</v>
      </c>
      <c r="D5" s="4" t="s">
        <v>4</v>
      </c>
      <c r="E5" s="4" t="s">
        <v>5</v>
      </c>
      <c r="F5" s="4" t="s">
        <v>6</v>
      </c>
      <c r="G5" s="4" t="s">
        <v>7</v>
      </c>
      <c r="H5" s="4" t="s">
        <v>8</v>
      </c>
      <c r="I5" s="4" t="s">
        <v>9</v>
      </c>
      <c r="J5" s="4" t="s">
        <v>10</v>
      </c>
      <c r="K5" s="4" t="s">
        <v>11</v>
      </c>
      <c r="L5" s="36" t="s">
        <v>452</v>
      </c>
    </row>
    <row r="6">
      <c r="B6" s="6" t="s">
        <v>13</v>
      </c>
      <c r="C6" s="6" t="s">
        <v>14</v>
      </c>
      <c r="D6" s="6" t="s">
        <v>15</v>
      </c>
      <c r="E6" s="6" t="s">
        <v>16</v>
      </c>
      <c r="F6" s="6" t="s">
        <v>17</v>
      </c>
      <c r="G6" s="6" t="s">
        <v>18</v>
      </c>
      <c r="H6" s="7">
        <v>44927.0</v>
      </c>
      <c r="I6" s="8">
        <v>235.0</v>
      </c>
      <c r="J6" s="8">
        <v>152.92</v>
      </c>
      <c r="K6" s="8">
        <v>153.6</v>
      </c>
      <c r="L6" s="27">
        <f t="shared" ref="L6:L355" si="1">I6*J6
</f>
        <v>35936.2</v>
      </c>
    </row>
    <row r="7">
      <c r="B7" s="6" t="s">
        <v>19</v>
      </c>
      <c r="C7" s="6" t="s">
        <v>20</v>
      </c>
      <c r="D7" s="6" t="s">
        <v>21</v>
      </c>
      <c r="E7" s="6" t="s">
        <v>22</v>
      </c>
      <c r="F7" s="6" t="s">
        <v>17</v>
      </c>
      <c r="G7" s="6" t="s">
        <v>23</v>
      </c>
      <c r="H7" s="7">
        <v>44928.0</v>
      </c>
      <c r="I7" s="8">
        <v>341.0</v>
      </c>
      <c r="J7" s="8">
        <v>467.92</v>
      </c>
      <c r="K7" s="8">
        <v>139.84</v>
      </c>
      <c r="L7" s="27">
        <f t="shared" si="1"/>
        <v>159560.72</v>
      </c>
      <c r="N7" s="37"/>
      <c r="O7" s="37"/>
      <c r="P7" s="37"/>
      <c r="Q7" s="37"/>
      <c r="R7" s="37"/>
      <c r="S7" s="37"/>
    </row>
    <row r="8">
      <c r="B8" s="6" t="s">
        <v>25</v>
      </c>
      <c r="C8" s="6" t="s">
        <v>26</v>
      </c>
      <c r="D8" s="6" t="s">
        <v>21</v>
      </c>
      <c r="E8" s="6" t="s">
        <v>27</v>
      </c>
      <c r="F8" s="6" t="s">
        <v>28</v>
      </c>
      <c r="G8" s="6" t="s">
        <v>18</v>
      </c>
      <c r="H8" s="7">
        <v>44929.0</v>
      </c>
      <c r="I8" s="8">
        <v>179.0</v>
      </c>
      <c r="J8" s="8">
        <v>473.94</v>
      </c>
      <c r="K8" s="8">
        <v>97.14</v>
      </c>
      <c r="L8" s="27">
        <f t="shared" si="1"/>
        <v>84835.26</v>
      </c>
      <c r="N8" s="38" t="s">
        <v>453</v>
      </c>
      <c r="O8" s="37"/>
      <c r="P8" s="37"/>
      <c r="Q8" s="37"/>
      <c r="R8" s="37"/>
      <c r="S8" s="37"/>
    </row>
    <row r="9">
      <c r="B9" s="6" t="s">
        <v>30</v>
      </c>
      <c r="C9" s="6" t="s">
        <v>14</v>
      </c>
      <c r="D9" s="6" t="s">
        <v>31</v>
      </c>
      <c r="E9" s="6" t="s">
        <v>32</v>
      </c>
      <c r="F9" s="6" t="s">
        <v>28</v>
      </c>
      <c r="G9" s="6" t="s">
        <v>33</v>
      </c>
      <c r="H9" s="7">
        <v>44930.0</v>
      </c>
      <c r="I9" s="8">
        <v>18.0</v>
      </c>
      <c r="J9" s="8">
        <v>314.53</v>
      </c>
      <c r="K9" s="8">
        <v>204.87</v>
      </c>
      <c r="L9" s="27">
        <f t="shared" si="1"/>
        <v>5661.54</v>
      </c>
      <c r="N9" s="38" t="s">
        <v>454</v>
      </c>
      <c r="O9" s="37"/>
      <c r="P9" s="37"/>
      <c r="Q9" s="37"/>
      <c r="R9" s="37"/>
      <c r="S9" s="37"/>
    </row>
    <row r="10">
      <c r="B10" s="6" t="s">
        <v>36</v>
      </c>
      <c r="C10" s="6" t="s">
        <v>14</v>
      </c>
      <c r="D10" s="6" t="s">
        <v>21</v>
      </c>
      <c r="E10" s="6" t="s">
        <v>32</v>
      </c>
      <c r="F10" s="6" t="s">
        <v>28</v>
      </c>
      <c r="G10" s="6" t="s">
        <v>33</v>
      </c>
      <c r="H10" s="7">
        <v>44931.0</v>
      </c>
      <c r="I10" s="8">
        <v>472.0</v>
      </c>
      <c r="J10" s="8">
        <v>392.79</v>
      </c>
      <c r="K10" s="8">
        <v>330.46</v>
      </c>
      <c r="L10" s="27">
        <f t="shared" si="1"/>
        <v>185396.88</v>
      </c>
      <c r="N10" s="37"/>
      <c r="O10" s="37"/>
      <c r="P10" s="37"/>
      <c r="Q10" s="37"/>
      <c r="R10" s="37"/>
      <c r="S10" s="37"/>
    </row>
    <row r="11">
      <c r="B11" s="6" t="s">
        <v>38</v>
      </c>
      <c r="C11" s="6" t="s">
        <v>20</v>
      </c>
      <c r="D11" s="6" t="s">
        <v>39</v>
      </c>
      <c r="E11" s="6" t="s">
        <v>27</v>
      </c>
      <c r="F11" s="6" t="s">
        <v>17</v>
      </c>
      <c r="G11" s="6" t="s">
        <v>18</v>
      </c>
      <c r="H11" s="7">
        <v>44932.0</v>
      </c>
      <c r="I11" s="8">
        <v>49.0</v>
      </c>
      <c r="J11" s="8">
        <v>308.07</v>
      </c>
      <c r="K11" s="8">
        <v>113.32</v>
      </c>
      <c r="L11" s="27">
        <f t="shared" si="1"/>
        <v>15095.43</v>
      </c>
      <c r="N11" s="38" t="s">
        <v>455</v>
      </c>
      <c r="O11" s="37"/>
      <c r="P11" s="37"/>
      <c r="Q11" s="37"/>
      <c r="R11" s="37"/>
      <c r="S11" s="37"/>
    </row>
    <row r="12">
      <c r="B12" s="6" t="s">
        <v>42</v>
      </c>
      <c r="C12" s="6" t="s">
        <v>26</v>
      </c>
      <c r="D12" s="6" t="s">
        <v>15</v>
      </c>
      <c r="E12" s="6" t="s">
        <v>27</v>
      </c>
      <c r="F12" s="6" t="s">
        <v>17</v>
      </c>
      <c r="G12" s="6" t="s">
        <v>23</v>
      </c>
      <c r="H12" s="7">
        <v>44933.0</v>
      </c>
      <c r="I12" s="8">
        <v>34.0</v>
      </c>
      <c r="J12" s="8">
        <v>244.78</v>
      </c>
      <c r="K12" s="8">
        <v>377.07</v>
      </c>
      <c r="L12" s="27">
        <f t="shared" si="1"/>
        <v>8322.52</v>
      </c>
      <c r="N12" s="38" t="s">
        <v>456</v>
      </c>
      <c r="O12" s="37"/>
      <c r="P12" s="37"/>
      <c r="Q12" s="37"/>
      <c r="R12" s="37"/>
      <c r="S12" s="37"/>
    </row>
    <row r="13">
      <c r="B13" s="6" t="s">
        <v>44</v>
      </c>
      <c r="C13" s="6" t="s">
        <v>26</v>
      </c>
      <c r="D13" s="6" t="s">
        <v>21</v>
      </c>
      <c r="E13" s="6" t="s">
        <v>16</v>
      </c>
      <c r="F13" s="6" t="s">
        <v>17</v>
      </c>
      <c r="G13" s="6" t="s">
        <v>18</v>
      </c>
      <c r="H13" s="7">
        <v>44934.0</v>
      </c>
      <c r="I13" s="8">
        <v>270.0</v>
      </c>
      <c r="J13" s="8">
        <v>332.11</v>
      </c>
      <c r="K13" s="8">
        <v>349.59</v>
      </c>
      <c r="L13" s="27">
        <f t="shared" si="1"/>
        <v>89669.7</v>
      </c>
      <c r="N13" s="38" t="s">
        <v>457</v>
      </c>
      <c r="O13" s="38" t="s">
        <v>458</v>
      </c>
      <c r="P13" s="37"/>
      <c r="Q13" s="37"/>
      <c r="R13" s="37"/>
      <c r="S13" s="37"/>
    </row>
    <row r="14">
      <c r="B14" s="6" t="s">
        <v>45</v>
      </c>
      <c r="C14" s="6" t="s">
        <v>14</v>
      </c>
      <c r="D14" s="6" t="s">
        <v>21</v>
      </c>
      <c r="E14" s="6" t="s">
        <v>16</v>
      </c>
      <c r="F14" s="6" t="s">
        <v>17</v>
      </c>
      <c r="G14" s="6" t="s">
        <v>23</v>
      </c>
      <c r="H14" s="7">
        <v>44935.0</v>
      </c>
      <c r="I14" s="8">
        <v>404.0</v>
      </c>
      <c r="J14" s="8">
        <v>278.74</v>
      </c>
      <c r="K14" s="8">
        <v>66.38</v>
      </c>
      <c r="L14" s="27">
        <f t="shared" si="1"/>
        <v>112610.96</v>
      </c>
      <c r="N14" s="37"/>
      <c r="O14" s="37"/>
      <c r="P14" s="37"/>
      <c r="Q14" s="37"/>
      <c r="R14" s="37"/>
      <c r="S14" s="37"/>
    </row>
    <row r="15">
      <c r="B15" s="6" t="s">
        <v>47</v>
      </c>
      <c r="C15" s="6"/>
      <c r="D15" s="6" t="s">
        <v>31</v>
      </c>
      <c r="E15" s="6" t="s">
        <v>32</v>
      </c>
      <c r="F15" s="6" t="s">
        <v>17</v>
      </c>
      <c r="G15" s="6" t="s">
        <v>33</v>
      </c>
      <c r="H15" s="7">
        <v>44936.0</v>
      </c>
      <c r="I15" s="8">
        <v>452.0</v>
      </c>
      <c r="J15" s="8">
        <v>300.75</v>
      </c>
      <c r="K15" s="8">
        <v>314.94</v>
      </c>
      <c r="L15" s="27">
        <f t="shared" si="1"/>
        <v>135939</v>
      </c>
      <c r="N15" s="38" t="s">
        <v>459</v>
      </c>
      <c r="O15" s="37"/>
      <c r="P15" s="37"/>
      <c r="Q15" s="37"/>
      <c r="R15" s="37"/>
      <c r="S15" s="37"/>
    </row>
    <row r="16">
      <c r="B16" s="6" t="s">
        <v>49</v>
      </c>
      <c r="C16" s="6" t="s">
        <v>14</v>
      </c>
      <c r="D16" s="6" t="s">
        <v>31</v>
      </c>
      <c r="E16" s="6" t="s">
        <v>22</v>
      </c>
      <c r="F16" s="6" t="s">
        <v>17</v>
      </c>
      <c r="G16" s="6" t="s">
        <v>23</v>
      </c>
      <c r="H16" s="7">
        <v>44937.0</v>
      </c>
      <c r="I16" s="8">
        <v>235.0</v>
      </c>
      <c r="J16" s="8">
        <v>393.0</v>
      </c>
      <c r="K16" s="8">
        <v>230.69</v>
      </c>
      <c r="L16" s="27">
        <f t="shared" si="1"/>
        <v>92355</v>
      </c>
      <c r="N16" s="38" t="s">
        <v>460</v>
      </c>
      <c r="O16" s="37"/>
      <c r="P16" s="37"/>
      <c r="Q16" s="37"/>
      <c r="R16" s="37"/>
      <c r="S16" s="37"/>
    </row>
    <row r="17">
      <c r="B17" s="6" t="s">
        <v>50</v>
      </c>
      <c r="C17" s="6" t="s">
        <v>14</v>
      </c>
      <c r="D17" s="6" t="s">
        <v>39</v>
      </c>
      <c r="E17" s="6" t="s">
        <v>32</v>
      </c>
      <c r="F17" s="6" t="s">
        <v>28</v>
      </c>
      <c r="G17" s="6" t="s">
        <v>33</v>
      </c>
      <c r="H17" s="7">
        <v>44938.0</v>
      </c>
      <c r="I17" s="8">
        <v>481.0</v>
      </c>
      <c r="J17" s="8">
        <v>243.05</v>
      </c>
      <c r="K17" s="8">
        <v>227.5</v>
      </c>
      <c r="L17" s="27">
        <f t="shared" si="1"/>
        <v>116907.05</v>
      </c>
      <c r="N17" s="38" t="s">
        <v>461</v>
      </c>
      <c r="O17" s="37"/>
      <c r="P17" s="37"/>
      <c r="Q17" s="37"/>
      <c r="R17" s="37"/>
      <c r="S17" s="37"/>
    </row>
    <row r="18">
      <c r="B18" s="6" t="s">
        <v>51</v>
      </c>
      <c r="C18" s="6" t="s">
        <v>14</v>
      </c>
      <c r="D18" s="6" t="s">
        <v>15</v>
      </c>
      <c r="E18" s="6" t="s">
        <v>22</v>
      </c>
      <c r="F18" s="6" t="s">
        <v>28</v>
      </c>
      <c r="G18" s="6" t="s">
        <v>23</v>
      </c>
      <c r="H18" s="7">
        <v>44939.0</v>
      </c>
      <c r="I18" s="8">
        <v>133.0</v>
      </c>
      <c r="J18" s="8">
        <v>25.17</v>
      </c>
      <c r="K18" s="8">
        <v>157.64</v>
      </c>
      <c r="L18" s="27">
        <f t="shared" si="1"/>
        <v>3347.61</v>
      </c>
      <c r="N18" s="37"/>
      <c r="O18" s="37"/>
      <c r="P18" s="37"/>
      <c r="Q18" s="37"/>
      <c r="R18" s="37"/>
      <c r="S18" s="37"/>
    </row>
    <row r="19">
      <c r="B19" s="6" t="s">
        <v>52</v>
      </c>
      <c r="C19" s="6" t="s">
        <v>14</v>
      </c>
      <c r="D19" s="6" t="s">
        <v>31</v>
      </c>
      <c r="E19" s="6" t="s">
        <v>22</v>
      </c>
      <c r="F19" s="6" t="s">
        <v>28</v>
      </c>
      <c r="G19" s="6" t="s">
        <v>23</v>
      </c>
      <c r="H19" s="7">
        <v>44940.0</v>
      </c>
      <c r="I19" s="8">
        <v>472.0</v>
      </c>
      <c r="J19" s="8">
        <v>86.18</v>
      </c>
      <c r="K19" s="8">
        <v>201.46</v>
      </c>
      <c r="L19" s="27">
        <f t="shared" si="1"/>
        <v>40676.96</v>
      </c>
      <c r="N19" s="38" t="s">
        <v>462</v>
      </c>
      <c r="O19" s="37"/>
      <c r="P19" s="37"/>
      <c r="Q19" s="37"/>
      <c r="R19" s="37"/>
      <c r="S19" s="37"/>
    </row>
    <row r="20">
      <c r="B20" s="6" t="s">
        <v>53</v>
      </c>
      <c r="C20" s="6" t="s">
        <v>20</v>
      </c>
      <c r="D20" s="6" t="s">
        <v>21</v>
      </c>
      <c r="E20" s="6" t="s">
        <v>16</v>
      </c>
      <c r="F20" s="6" t="s">
        <v>28</v>
      </c>
      <c r="G20" s="6" t="s">
        <v>23</v>
      </c>
      <c r="H20" s="7">
        <v>44941.0</v>
      </c>
      <c r="I20" s="8">
        <v>47.0</v>
      </c>
      <c r="J20" s="8">
        <v>222.11</v>
      </c>
      <c r="K20" s="8">
        <v>160.08</v>
      </c>
      <c r="L20" s="27">
        <f t="shared" si="1"/>
        <v>10439.17</v>
      </c>
      <c r="N20" s="38" t="s">
        <v>463</v>
      </c>
      <c r="O20" s="37"/>
      <c r="P20" s="37"/>
      <c r="Q20" s="37"/>
      <c r="R20" s="37"/>
      <c r="S20" s="37"/>
    </row>
    <row r="21">
      <c r="B21" s="6" t="s">
        <v>54</v>
      </c>
      <c r="C21" s="6" t="s">
        <v>26</v>
      </c>
      <c r="D21" s="6" t="s">
        <v>15</v>
      </c>
      <c r="E21" s="6" t="s">
        <v>55</v>
      </c>
      <c r="F21" s="6" t="s">
        <v>17</v>
      </c>
      <c r="G21" s="6" t="s">
        <v>18</v>
      </c>
      <c r="H21" s="7">
        <v>44942.0</v>
      </c>
      <c r="I21" s="8">
        <v>337.0</v>
      </c>
      <c r="J21" s="8">
        <v>363.79</v>
      </c>
      <c r="K21" s="8">
        <v>216.81</v>
      </c>
      <c r="L21" s="27">
        <f t="shared" si="1"/>
        <v>122597.23</v>
      </c>
      <c r="N21" s="37"/>
      <c r="O21" s="37"/>
      <c r="P21" s="37"/>
      <c r="Q21" s="37"/>
      <c r="R21" s="37"/>
      <c r="S21" s="37"/>
    </row>
    <row r="22">
      <c r="B22" s="6" t="s">
        <v>56</v>
      </c>
      <c r="C22" s="6" t="s">
        <v>20</v>
      </c>
      <c r="D22" s="6" t="s">
        <v>15</v>
      </c>
      <c r="E22" s="6" t="s">
        <v>55</v>
      </c>
      <c r="F22" s="6" t="s">
        <v>17</v>
      </c>
      <c r="G22" s="6" t="s">
        <v>18</v>
      </c>
      <c r="H22" s="7">
        <v>44943.0</v>
      </c>
      <c r="I22" s="8">
        <v>260.0</v>
      </c>
      <c r="J22" s="8">
        <v>298.67</v>
      </c>
      <c r="K22" s="8">
        <v>251.92</v>
      </c>
      <c r="L22" s="27">
        <f t="shared" si="1"/>
        <v>77654.2</v>
      </c>
      <c r="N22" s="38" t="s">
        <v>464</v>
      </c>
      <c r="O22" s="37"/>
      <c r="P22" s="37"/>
      <c r="Q22" s="37"/>
      <c r="R22" s="37"/>
      <c r="S22" s="37"/>
    </row>
    <row r="23">
      <c r="B23" s="6" t="s">
        <v>57</v>
      </c>
      <c r="C23" s="6"/>
      <c r="D23" s="6" t="s">
        <v>21</v>
      </c>
      <c r="E23" s="6" t="s">
        <v>27</v>
      </c>
      <c r="F23" s="6" t="s">
        <v>28</v>
      </c>
      <c r="G23" s="6" t="s">
        <v>33</v>
      </c>
      <c r="H23" s="7">
        <v>44944.0</v>
      </c>
      <c r="I23" s="8">
        <v>398.0</v>
      </c>
      <c r="J23" s="8">
        <v>326.9</v>
      </c>
      <c r="K23" s="8">
        <v>270.37</v>
      </c>
      <c r="L23" s="27">
        <f t="shared" si="1"/>
        <v>130106.2</v>
      </c>
      <c r="N23" s="37"/>
      <c r="O23" s="37"/>
      <c r="P23" s="37"/>
      <c r="Q23" s="37"/>
      <c r="R23" s="37"/>
      <c r="S23" s="37"/>
    </row>
    <row r="24">
      <c r="B24" s="6" t="s">
        <v>58</v>
      </c>
      <c r="C24" s="6" t="s">
        <v>20</v>
      </c>
      <c r="D24" s="6" t="s">
        <v>31</v>
      </c>
      <c r="E24" s="6" t="s">
        <v>16</v>
      </c>
      <c r="F24" s="6" t="s">
        <v>17</v>
      </c>
      <c r="G24" s="6" t="s">
        <v>33</v>
      </c>
      <c r="H24" s="7">
        <v>44945.0</v>
      </c>
      <c r="I24" s="8">
        <v>185.0</v>
      </c>
      <c r="J24" s="8">
        <v>242.24</v>
      </c>
      <c r="K24" s="8">
        <v>213.93</v>
      </c>
      <c r="L24" s="27">
        <f t="shared" si="1"/>
        <v>44814.4</v>
      </c>
      <c r="N24" s="37"/>
      <c r="O24" s="37"/>
      <c r="P24" s="37"/>
      <c r="Q24" s="37"/>
      <c r="R24" s="37"/>
      <c r="S24" s="37"/>
    </row>
    <row r="25">
      <c r="B25" s="6" t="s">
        <v>59</v>
      </c>
      <c r="C25" s="6" t="s">
        <v>14</v>
      </c>
      <c r="D25" s="6" t="s">
        <v>21</v>
      </c>
      <c r="E25" s="6" t="s">
        <v>22</v>
      </c>
      <c r="F25" s="6" t="s">
        <v>28</v>
      </c>
      <c r="G25" s="6" t="s">
        <v>18</v>
      </c>
      <c r="H25" s="7">
        <v>44946.0</v>
      </c>
      <c r="I25" s="8">
        <v>99.0</v>
      </c>
      <c r="J25" s="8">
        <v>309.79</v>
      </c>
      <c r="K25" s="8">
        <v>289.13</v>
      </c>
      <c r="L25" s="27">
        <f t="shared" si="1"/>
        <v>30669.21</v>
      </c>
    </row>
    <row r="26">
      <c r="B26" s="6" t="s">
        <v>60</v>
      </c>
      <c r="C26" s="6" t="s">
        <v>61</v>
      </c>
      <c r="D26" s="6" t="s">
        <v>15</v>
      </c>
      <c r="E26" s="6" t="s">
        <v>55</v>
      </c>
      <c r="F26" s="6" t="s">
        <v>28</v>
      </c>
      <c r="G26" s="6" t="s">
        <v>33</v>
      </c>
      <c r="H26" s="7">
        <v>44947.0</v>
      </c>
      <c r="I26" s="8">
        <v>411.0</v>
      </c>
      <c r="J26" s="8">
        <v>167.86</v>
      </c>
      <c r="K26" s="8">
        <v>58.23</v>
      </c>
      <c r="L26" s="27">
        <f t="shared" si="1"/>
        <v>68990.46</v>
      </c>
    </row>
    <row r="27">
      <c r="B27" s="6" t="s">
        <v>62</v>
      </c>
      <c r="C27" s="6" t="s">
        <v>26</v>
      </c>
      <c r="D27" s="6" t="s">
        <v>63</v>
      </c>
      <c r="E27" s="6" t="s">
        <v>22</v>
      </c>
      <c r="F27" s="6" t="s">
        <v>28</v>
      </c>
      <c r="G27" s="6" t="s">
        <v>18</v>
      </c>
      <c r="H27" s="7">
        <v>44948.0</v>
      </c>
      <c r="I27" s="8">
        <v>463.0</v>
      </c>
      <c r="J27" s="8">
        <v>237.74</v>
      </c>
      <c r="K27" s="8">
        <v>86.37</v>
      </c>
      <c r="L27" s="27">
        <f t="shared" si="1"/>
        <v>110073.62</v>
      </c>
    </row>
    <row r="28">
      <c r="B28" s="6" t="s">
        <v>64</v>
      </c>
      <c r="C28" s="6" t="s">
        <v>61</v>
      </c>
      <c r="D28" s="6" t="s">
        <v>63</v>
      </c>
      <c r="E28" s="6" t="s">
        <v>55</v>
      </c>
      <c r="F28" s="6" t="s">
        <v>17</v>
      </c>
      <c r="G28" s="6" t="s">
        <v>23</v>
      </c>
      <c r="H28" s="7">
        <v>44949.0</v>
      </c>
      <c r="I28" s="8">
        <v>46.0</v>
      </c>
      <c r="J28" s="8">
        <v>373.42</v>
      </c>
      <c r="K28" s="8">
        <v>327.86</v>
      </c>
      <c r="L28" s="27">
        <f t="shared" si="1"/>
        <v>17177.32</v>
      </c>
    </row>
    <row r="29">
      <c r="B29" s="6" t="s">
        <v>65</v>
      </c>
      <c r="C29" s="6" t="s">
        <v>20</v>
      </c>
      <c r="D29" s="6" t="s">
        <v>39</v>
      </c>
      <c r="E29" s="6" t="s">
        <v>55</v>
      </c>
      <c r="F29" s="6" t="s">
        <v>28</v>
      </c>
      <c r="G29" s="6" t="s">
        <v>33</v>
      </c>
      <c r="H29" s="7">
        <v>44950.0</v>
      </c>
      <c r="I29" s="8">
        <v>325.0</v>
      </c>
      <c r="J29" s="8">
        <v>436.56</v>
      </c>
      <c r="K29" s="8">
        <v>130.37</v>
      </c>
      <c r="L29" s="27">
        <f t="shared" si="1"/>
        <v>141882</v>
      </c>
    </row>
    <row r="30">
      <c r="B30" s="6" t="s">
        <v>66</v>
      </c>
      <c r="C30" s="6" t="s">
        <v>20</v>
      </c>
      <c r="D30" s="6" t="s">
        <v>21</v>
      </c>
      <c r="E30" s="6"/>
      <c r="F30" s="6" t="s">
        <v>28</v>
      </c>
      <c r="G30" s="6" t="s">
        <v>33</v>
      </c>
      <c r="H30" s="7">
        <v>44951.0</v>
      </c>
      <c r="I30" s="8">
        <v>185.0</v>
      </c>
      <c r="J30" s="8">
        <v>219.66</v>
      </c>
      <c r="K30" s="8">
        <v>11.11</v>
      </c>
      <c r="L30" s="27">
        <f t="shared" si="1"/>
        <v>40637.1</v>
      </c>
    </row>
    <row r="31">
      <c r="B31" s="6" t="s">
        <v>67</v>
      </c>
      <c r="C31" s="6" t="s">
        <v>61</v>
      </c>
      <c r="D31" s="6" t="s">
        <v>21</v>
      </c>
      <c r="E31" s="6" t="s">
        <v>16</v>
      </c>
      <c r="F31" s="6" t="s">
        <v>28</v>
      </c>
      <c r="G31" s="6" t="s">
        <v>18</v>
      </c>
      <c r="H31" s="7">
        <v>44952.0</v>
      </c>
      <c r="I31" s="8">
        <v>470.0</v>
      </c>
      <c r="J31" s="8">
        <v>26.61</v>
      </c>
      <c r="K31" s="8">
        <v>63.21</v>
      </c>
      <c r="L31" s="27">
        <f t="shared" si="1"/>
        <v>12506.7</v>
      </c>
    </row>
    <row r="32">
      <c r="B32" s="6" t="s">
        <v>68</v>
      </c>
      <c r="C32" s="6" t="s">
        <v>61</v>
      </c>
      <c r="D32" s="6" t="s">
        <v>39</v>
      </c>
      <c r="E32" s="6" t="s">
        <v>32</v>
      </c>
      <c r="F32" s="6" t="s">
        <v>17</v>
      </c>
      <c r="G32" s="6" t="s">
        <v>33</v>
      </c>
      <c r="H32" s="7">
        <v>44953.0</v>
      </c>
      <c r="I32" s="8">
        <v>293.0</v>
      </c>
      <c r="J32" s="8">
        <v>85.03</v>
      </c>
      <c r="K32" s="8">
        <v>91.0</v>
      </c>
      <c r="L32" s="27">
        <f t="shared" si="1"/>
        <v>24913.79</v>
      </c>
    </row>
    <row r="33">
      <c r="B33" s="6" t="s">
        <v>69</v>
      </c>
      <c r="C33" s="6" t="s">
        <v>61</v>
      </c>
      <c r="D33" s="6" t="s">
        <v>39</v>
      </c>
      <c r="E33" s="6" t="s">
        <v>22</v>
      </c>
      <c r="F33" s="6" t="s">
        <v>17</v>
      </c>
      <c r="G33" s="6" t="s">
        <v>33</v>
      </c>
      <c r="H33" s="7">
        <v>44954.0</v>
      </c>
      <c r="I33" s="8">
        <v>462.0</v>
      </c>
      <c r="J33" s="6"/>
      <c r="K33" s="8">
        <v>383.01</v>
      </c>
      <c r="L33" s="27">
        <f t="shared" si="1"/>
        <v>0</v>
      </c>
    </row>
    <row r="34">
      <c r="B34" s="6" t="s">
        <v>70</v>
      </c>
      <c r="C34" s="6" t="s">
        <v>20</v>
      </c>
      <c r="D34" s="6" t="s">
        <v>39</v>
      </c>
      <c r="E34" s="6" t="s">
        <v>16</v>
      </c>
      <c r="F34" s="6" t="s">
        <v>28</v>
      </c>
      <c r="G34" s="6" t="s">
        <v>23</v>
      </c>
      <c r="H34" s="7">
        <v>44955.0</v>
      </c>
      <c r="I34" s="8">
        <v>470.0</v>
      </c>
      <c r="J34" s="8">
        <v>328.37</v>
      </c>
      <c r="K34" s="8">
        <v>230.07</v>
      </c>
      <c r="L34" s="27">
        <f t="shared" si="1"/>
        <v>154333.9</v>
      </c>
    </row>
    <row r="35">
      <c r="B35" s="6" t="s">
        <v>71</v>
      </c>
      <c r="C35" s="6" t="s">
        <v>20</v>
      </c>
      <c r="D35" s="6" t="s">
        <v>15</v>
      </c>
      <c r="E35" s="6" t="s">
        <v>16</v>
      </c>
      <c r="F35" s="6" t="s">
        <v>17</v>
      </c>
      <c r="G35" s="6" t="s">
        <v>33</v>
      </c>
      <c r="H35" s="7">
        <v>44956.0</v>
      </c>
      <c r="I35" s="8">
        <v>90.0</v>
      </c>
      <c r="J35" s="8">
        <v>169.5</v>
      </c>
      <c r="K35" s="8">
        <v>373.23</v>
      </c>
      <c r="L35" s="27">
        <f t="shared" si="1"/>
        <v>15255</v>
      </c>
    </row>
    <row r="36">
      <c r="B36" s="6" t="s">
        <v>72</v>
      </c>
      <c r="C36" s="6"/>
      <c r="D36" s="6" t="s">
        <v>21</v>
      </c>
      <c r="E36" s="6" t="s">
        <v>16</v>
      </c>
      <c r="F36" s="6" t="s">
        <v>17</v>
      </c>
      <c r="G36" s="6" t="s">
        <v>23</v>
      </c>
      <c r="H36" s="7">
        <v>44957.0</v>
      </c>
      <c r="I36" s="8">
        <v>123.0</v>
      </c>
      <c r="J36" s="8">
        <v>273.53</v>
      </c>
      <c r="K36" s="8">
        <v>230.92</v>
      </c>
      <c r="L36" s="27">
        <f t="shared" si="1"/>
        <v>33644.19</v>
      </c>
    </row>
    <row r="37">
      <c r="B37" s="6" t="s">
        <v>73</v>
      </c>
      <c r="C37" s="6" t="s">
        <v>26</v>
      </c>
      <c r="D37" s="6" t="s">
        <v>15</v>
      </c>
      <c r="E37" s="6" t="s">
        <v>16</v>
      </c>
      <c r="F37" s="6" t="s">
        <v>17</v>
      </c>
      <c r="G37" s="6" t="s">
        <v>18</v>
      </c>
      <c r="H37" s="7">
        <v>44958.0</v>
      </c>
      <c r="I37" s="8">
        <v>49.0</v>
      </c>
      <c r="J37" s="8">
        <v>249.17</v>
      </c>
      <c r="K37" s="8">
        <v>192.78</v>
      </c>
      <c r="L37" s="27">
        <f t="shared" si="1"/>
        <v>12209.33</v>
      </c>
    </row>
    <row r="38">
      <c r="B38" s="6" t="s">
        <v>74</v>
      </c>
      <c r="C38" s="6" t="s">
        <v>20</v>
      </c>
      <c r="D38" s="6" t="s">
        <v>39</v>
      </c>
      <c r="E38" s="6" t="s">
        <v>16</v>
      </c>
      <c r="F38" s="6" t="s">
        <v>17</v>
      </c>
      <c r="G38" s="6" t="s">
        <v>33</v>
      </c>
      <c r="H38" s="7">
        <v>44959.0</v>
      </c>
      <c r="I38" s="8">
        <v>310.0</v>
      </c>
      <c r="J38" s="8">
        <v>45.36</v>
      </c>
      <c r="K38" s="8">
        <v>126.86</v>
      </c>
      <c r="L38" s="27">
        <f t="shared" si="1"/>
        <v>14061.6</v>
      </c>
    </row>
    <row r="39">
      <c r="B39" s="6" t="s">
        <v>75</v>
      </c>
      <c r="C39" s="6" t="s">
        <v>61</v>
      </c>
      <c r="D39" s="6" t="s">
        <v>21</v>
      </c>
      <c r="E39" s="6" t="s">
        <v>27</v>
      </c>
      <c r="F39" s="6" t="s">
        <v>17</v>
      </c>
      <c r="G39" s="6" t="s">
        <v>23</v>
      </c>
      <c r="H39" s="7">
        <v>44960.0</v>
      </c>
      <c r="I39" s="8">
        <v>233.0</v>
      </c>
      <c r="J39" s="8">
        <v>204.61</v>
      </c>
      <c r="K39" s="8">
        <v>243.34</v>
      </c>
      <c r="L39" s="27">
        <f t="shared" si="1"/>
        <v>47674.13</v>
      </c>
    </row>
    <row r="40">
      <c r="B40" s="6" t="s">
        <v>76</v>
      </c>
      <c r="C40" s="6" t="s">
        <v>61</v>
      </c>
      <c r="D40" s="6" t="s">
        <v>15</v>
      </c>
      <c r="E40" s="6" t="s">
        <v>22</v>
      </c>
      <c r="F40" s="6" t="s">
        <v>17</v>
      </c>
      <c r="G40" s="6" t="s">
        <v>18</v>
      </c>
      <c r="H40" s="7">
        <v>44961.0</v>
      </c>
      <c r="I40" s="8">
        <v>327.0</v>
      </c>
      <c r="J40" s="8">
        <v>114.18</v>
      </c>
      <c r="K40" s="8">
        <v>57.4</v>
      </c>
      <c r="L40" s="27">
        <f t="shared" si="1"/>
        <v>37336.86</v>
      </c>
    </row>
    <row r="41">
      <c r="B41" s="6" t="s">
        <v>77</v>
      </c>
      <c r="C41" s="6" t="s">
        <v>26</v>
      </c>
      <c r="D41" s="6" t="s">
        <v>15</v>
      </c>
      <c r="E41" s="6" t="s">
        <v>16</v>
      </c>
      <c r="F41" s="6" t="s">
        <v>17</v>
      </c>
      <c r="G41" s="6" t="s">
        <v>33</v>
      </c>
      <c r="H41" s="7">
        <v>44962.0</v>
      </c>
      <c r="I41" s="8">
        <v>358.0</v>
      </c>
      <c r="J41" s="8">
        <v>212.11</v>
      </c>
      <c r="K41" s="8">
        <v>359.51</v>
      </c>
      <c r="L41" s="27">
        <f t="shared" si="1"/>
        <v>75935.38</v>
      </c>
    </row>
    <row r="42">
      <c r="B42" s="6" t="s">
        <v>78</v>
      </c>
      <c r="C42" s="6" t="s">
        <v>20</v>
      </c>
      <c r="D42" s="6" t="s">
        <v>39</v>
      </c>
      <c r="E42" s="6" t="s">
        <v>22</v>
      </c>
      <c r="F42" s="6" t="s">
        <v>17</v>
      </c>
      <c r="G42" s="6" t="s">
        <v>18</v>
      </c>
      <c r="H42" s="7">
        <v>44963.0</v>
      </c>
      <c r="I42" s="8">
        <v>124.0</v>
      </c>
      <c r="J42" s="6"/>
      <c r="K42" s="8">
        <v>332.07</v>
      </c>
      <c r="L42" s="27">
        <f t="shared" si="1"/>
        <v>0</v>
      </c>
    </row>
    <row r="43">
      <c r="B43" s="6" t="s">
        <v>79</v>
      </c>
      <c r="C43" s="6" t="s">
        <v>26</v>
      </c>
      <c r="D43" s="6" t="s">
        <v>21</v>
      </c>
      <c r="E43" s="6" t="s">
        <v>27</v>
      </c>
      <c r="F43" s="6" t="s">
        <v>17</v>
      </c>
      <c r="G43" s="6" t="s">
        <v>33</v>
      </c>
      <c r="H43" s="7">
        <v>44964.0</v>
      </c>
      <c r="I43" s="8">
        <v>195.0</v>
      </c>
      <c r="J43" s="8">
        <v>421.02</v>
      </c>
      <c r="K43" s="8">
        <v>128.38</v>
      </c>
      <c r="L43" s="27">
        <f t="shared" si="1"/>
        <v>82098.9</v>
      </c>
    </row>
    <row r="44">
      <c r="B44" s="6" t="s">
        <v>80</v>
      </c>
      <c r="C44" s="6" t="s">
        <v>26</v>
      </c>
      <c r="D44" s="6" t="s">
        <v>39</v>
      </c>
      <c r="E44" s="6" t="s">
        <v>27</v>
      </c>
      <c r="F44" s="6" t="s">
        <v>17</v>
      </c>
      <c r="G44" s="6" t="s">
        <v>18</v>
      </c>
      <c r="H44" s="7">
        <v>44965.0</v>
      </c>
      <c r="I44" s="6"/>
      <c r="J44" s="8">
        <v>91.23</v>
      </c>
      <c r="K44" s="8">
        <v>381.21</v>
      </c>
      <c r="L44" s="27">
        <f t="shared" si="1"/>
        <v>0</v>
      </c>
    </row>
    <row r="45">
      <c r="B45" s="6" t="s">
        <v>81</v>
      </c>
      <c r="C45" s="6" t="s">
        <v>14</v>
      </c>
      <c r="D45" s="6" t="s">
        <v>21</v>
      </c>
      <c r="E45" s="6" t="s">
        <v>22</v>
      </c>
      <c r="F45" s="6" t="s">
        <v>28</v>
      </c>
      <c r="G45" s="6" t="s">
        <v>18</v>
      </c>
      <c r="H45" s="7">
        <v>44966.0</v>
      </c>
      <c r="I45" s="8">
        <v>65.0</v>
      </c>
      <c r="J45" s="8">
        <v>480.59</v>
      </c>
      <c r="K45" s="8">
        <v>330.43</v>
      </c>
      <c r="L45" s="27">
        <f t="shared" si="1"/>
        <v>31238.35</v>
      </c>
    </row>
    <row r="46">
      <c r="B46" s="6" t="s">
        <v>82</v>
      </c>
      <c r="C46" s="6" t="s">
        <v>14</v>
      </c>
      <c r="D46" s="6" t="s">
        <v>63</v>
      </c>
      <c r="E46" s="6" t="s">
        <v>55</v>
      </c>
      <c r="F46" s="6" t="s">
        <v>28</v>
      </c>
      <c r="G46" s="6" t="s">
        <v>23</v>
      </c>
      <c r="H46" s="7">
        <v>44967.0</v>
      </c>
      <c r="I46" s="8">
        <v>49.0</v>
      </c>
      <c r="J46" s="8">
        <v>210.87</v>
      </c>
      <c r="K46" s="8">
        <v>267.19</v>
      </c>
      <c r="L46" s="27">
        <f t="shared" si="1"/>
        <v>10332.63</v>
      </c>
    </row>
    <row r="47">
      <c r="B47" s="6" t="s">
        <v>83</v>
      </c>
      <c r="C47" s="6" t="s">
        <v>14</v>
      </c>
      <c r="D47" s="6" t="s">
        <v>31</v>
      </c>
      <c r="E47" s="6" t="s">
        <v>32</v>
      </c>
      <c r="F47" s="6" t="s">
        <v>17</v>
      </c>
      <c r="G47" s="6" t="s">
        <v>18</v>
      </c>
      <c r="H47" s="7">
        <v>44968.0</v>
      </c>
      <c r="I47" s="8">
        <v>363.0</v>
      </c>
      <c r="J47" s="8">
        <v>423.89</v>
      </c>
      <c r="K47" s="8">
        <v>50.46</v>
      </c>
      <c r="L47" s="27">
        <f t="shared" si="1"/>
        <v>153872.07</v>
      </c>
    </row>
    <row r="48">
      <c r="B48" s="6" t="s">
        <v>84</v>
      </c>
      <c r="C48" s="6" t="s">
        <v>61</v>
      </c>
      <c r="D48" s="6" t="s">
        <v>31</v>
      </c>
      <c r="E48" s="6" t="s">
        <v>55</v>
      </c>
      <c r="F48" s="6" t="s">
        <v>28</v>
      </c>
      <c r="G48" s="6" t="s">
        <v>33</v>
      </c>
      <c r="H48" s="7">
        <v>44969.0</v>
      </c>
      <c r="I48" s="8">
        <v>49.0</v>
      </c>
      <c r="J48" s="8">
        <v>316.24</v>
      </c>
      <c r="K48" s="8">
        <v>192.34</v>
      </c>
      <c r="L48" s="27">
        <f t="shared" si="1"/>
        <v>15495.76</v>
      </c>
    </row>
    <row r="49">
      <c r="B49" s="6" t="s">
        <v>85</v>
      </c>
      <c r="C49" s="6" t="s">
        <v>20</v>
      </c>
      <c r="D49" s="6" t="s">
        <v>31</v>
      </c>
      <c r="E49" s="6" t="s">
        <v>55</v>
      </c>
      <c r="F49" s="6" t="s">
        <v>28</v>
      </c>
      <c r="G49" s="6" t="s">
        <v>33</v>
      </c>
      <c r="H49" s="7">
        <v>44970.0</v>
      </c>
      <c r="I49" s="8">
        <v>356.0</v>
      </c>
      <c r="J49" s="8">
        <v>369.0</v>
      </c>
      <c r="K49" s="8">
        <v>203.43</v>
      </c>
      <c r="L49" s="27">
        <f t="shared" si="1"/>
        <v>131364</v>
      </c>
    </row>
    <row r="50">
      <c r="B50" s="6" t="s">
        <v>86</v>
      </c>
      <c r="C50" s="6" t="s">
        <v>20</v>
      </c>
      <c r="D50" s="6" t="s">
        <v>39</v>
      </c>
      <c r="E50" s="6" t="s">
        <v>55</v>
      </c>
      <c r="F50" s="6" t="s">
        <v>17</v>
      </c>
      <c r="G50" s="6" t="s">
        <v>23</v>
      </c>
      <c r="H50" s="7">
        <v>44971.0</v>
      </c>
      <c r="I50" s="8">
        <v>470.0</v>
      </c>
      <c r="J50" s="6"/>
      <c r="K50" s="8">
        <v>94.56</v>
      </c>
      <c r="L50" s="27">
        <f t="shared" si="1"/>
        <v>0</v>
      </c>
    </row>
    <row r="51">
      <c r="B51" s="6" t="s">
        <v>87</v>
      </c>
      <c r="C51" s="6" t="s">
        <v>20</v>
      </c>
      <c r="D51" s="6" t="s">
        <v>63</v>
      </c>
      <c r="E51" s="6" t="s">
        <v>16</v>
      </c>
      <c r="F51" s="6" t="s">
        <v>17</v>
      </c>
      <c r="G51" s="6" t="s">
        <v>33</v>
      </c>
      <c r="H51" s="7">
        <v>44972.0</v>
      </c>
      <c r="I51" s="8">
        <v>246.0</v>
      </c>
      <c r="J51" s="8">
        <v>254.9</v>
      </c>
      <c r="K51" s="8">
        <v>33.83</v>
      </c>
      <c r="L51" s="27">
        <f t="shared" si="1"/>
        <v>62705.4</v>
      </c>
    </row>
    <row r="52">
      <c r="B52" s="6" t="s">
        <v>88</v>
      </c>
      <c r="C52" s="6" t="s">
        <v>20</v>
      </c>
      <c r="D52" s="6" t="s">
        <v>21</v>
      </c>
      <c r="E52" s="6" t="s">
        <v>27</v>
      </c>
      <c r="F52" s="6" t="s">
        <v>17</v>
      </c>
      <c r="G52" s="6" t="s">
        <v>33</v>
      </c>
      <c r="H52" s="7">
        <v>44973.0</v>
      </c>
      <c r="I52" s="8">
        <v>298.0</v>
      </c>
      <c r="J52" s="8">
        <v>273.93</v>
      </c>
      <c r="K52" s="8">
        <v>311.14</v>
      </c>
      <c r="L52" s="27">
        <f t="shared" si="1"/>
        <v>81631.14</v>
      </c>
    </row>
    <row r="53">
      <c r="B53" s="6" t="s">
        <v>89</v>
      </c>
      <c r="C53" s="6" t="s">
        <v>14</v>
      </c>
      <c r="D53" s="6" t="s">
        <v>15</v>
      </c>
      <c r="E53" s="6" t="s">
        <v>55</v>
      </c>
      <c r="F53" s="6" t="s">
        <v>28</v>
      </c>
      <c r="G53" s="6" t="s">
        <v>33</v>
      </c>
      <c r="H53" s="7">
        <v>44974.0</v>
      </c>
      <c r="I53" s="8">
        <v>271.0</v>
      </c>
      <c r="J53" s="8">
        <v>259.43</v>
      </c>
      <c r="K53" s="8">
        <v>50.57</v>
      </c>
      <c r="L53" s="27">
        <f t="shared" si="1"/>
        <v>70305.53</v>
      </c>
    </row>
    <row r="54">
      <c r="B54" s="6" t="s">
        <v>90</v>
      </c>
      <c r="C54" s="6" t="s">
        <v>61</v>
      </c>
      <c r="D54" s="6" t="s">
        <v>21</v>
      </c>
      <c r="E54" s="6" t="s">
        <v>27</v>
      </c>
      <c r="F54" s="6" t="s">
        <v>28</v>
      </c>
      <c r="G54" s="6" t="s">
        <v>18</v>
      </c>
      <c r="H54" s="7">
        <v>44975.0</v>
      </c>
      <c r="I54" s="8">
        <v>225.0</v>
      </c>
      <c r="J54" s="8">
        <v>296.09</v>
      </c>
      <c r="K54" s="8">
        <v>238.53</v>
      </c>
      <c r="L54" s="27">
        <f t="shared" si="1"/>
        <v>66620.25</v>
      </c>
    </row>
    <row r="55">
      <c r="B55" s="6" t="s">
        <v>91</v>
      </c>
      <c r="C55" s="6"/>
      <c r="D55" s="6" t="s">
        <v>15</v>
      </c>
      <c r="E55" s="6" t="s">
        <v>22</v>
      </c>
      <c r="F55" s="6" t="s">
        <v>17</v>
      </c>
      <c r="G55" s="6" t="s">
        <v>18</v>
      </c>
      <c r="H55" s="7">
        <v>44976.0</v>
      </c>
      <c r="I55" s="8">
        <v>156.0</v>
      </c>
      <c r="J55" s="8">
        <v>19.55</v>
      </c>
      <c r="K55" s="8">
        <v>374.71</v>
      </c>
      <c r="L55" s="27">
        <f t="shared" si="1"/>
        <v>3049.8</v>
      </c>
    </row>
    <row r="56">
      <c r="B56" s="6" t="s">
        <v>92</v>
      </c>
      <c r="C56" s="6" t="s">
        <v>14</v>
      </c>
      <c r="D56" s="6" t="s">
        <v>21</v>
      </c>
      <c r="E56" s="6" t="s">
        <v>32</v>
      </c>
      <c r="F56" s="6" t="s">
        <v>17</v>
      </c>
      <c r="G56" s="6" t="s">
        <v>33</v>
      </c>
      <c r="H56" s="7">
        <v>44977.0</v>
      </c>
      <c r="I56" s="8">
        <v>345.0</v>
      </c>
      <c r="J56" s="8">
        <v>200.78</v>
      </c>
      <c r="K56" s="8">
        <v>350.69</v>
      </c>
      <c r="L56" s="27">
        <f t="shared" si="1"/>
        <v>69269.1</v>
      </c>
    </row>
    <row r="57">
      <c r="B57" s="6" t="s">
        <v>93</v>
      </c>
      <c r="C57" s="6" t="s">
        <v>61</v>
      </c>
      <c r="D57" s="6" t="s">
        <v>63</v>
      </c>
      <c r="E57" s="6" t="s">
        <v>22</v>
      </c>
      <c r="F57" s="6" t="s">
        <v>17</v>
      </c>
      <c r="G57" s="6" t="s">
        <v>23</v>
      </c>
      <c r="H57" s="7">
        <v>44978.0</v>
      </c>
      <c r="I57" s="8">
        <v>177.0</v>
      </c>
      <c r="J57" s="8">
        <v>305.06</v>
      </c>
      <c r="K57" s="8">
        <v>112.55</v>
      </c>
      <c r="L57" s="27">
        <f t="shared" si="1"/>
        <v>53995.62</v>
      </c>
    </row>
    <row r="58">
      <c r="B58" s="6" t="s">
        <v>94</v>
      </c>
      <c r="C58" s="6" t="s">
        <v>14</v>
      </c>
      <c r="D58" s="6" t="s">
        <v>15</v>
      </c>
      <c r="E58" s="6" t="s">
        <v>22</v>
      </c>
      <c r="F58" s="6" t="s">
        <v>28</v>
      </c>
      <c r="G58" s="6" t="s">
        <v>18</v>
      </c>
      <c r="H58" s="7">
        <v>44979.0</v>
      </c>
      <c r="I58" s="8">
        <v>101.0</v>
      </c>
      <c r="J58" s="8">
        <v>300.87</v>
      </c>
      <c r="K58" s="8">
        <v>340.88</v>
      </c>
      <c r="L58" s="27">
        <f t="shared" si="1"/>
        <v>30387.87</v>
      </c>
    </row>
    <row r="59">
      <c r="B59" s="6" t="s">
        <v>95</v>
      </c>
      <c r="C59" s="6" t="s">
        <v>20</v>
      </c>
      <c r="D59" s="6" t="s">
        <v>39</v>
      </c>
      <c r="E59" s="6" t="s">
        <v>16</v>
      </c>
      <c r="F59" s="6" t="s">
        <v>28</v>
      </c>
      <c r="G59" s="6" t="s">
        <v>23</v>
      </c>
      <c r="H59" s="7">
        <v>44980.0</v>
      </c>
      <c r="I59" s="8">
        <v>362.0</v>
      </c>
      <c r="J59" s="8">
        <v>397.51</v>
      </c>
      <c r="K59" s="8">
        <v>2.13</v>
      </c>
      <c r="L59" s="27">
        <f t="shared" si="1"/>
        <v>143898.62</v>
      </c>
    </row>
    <row r="60">
      <c r="B60" s="6" t="s">
        <v>96</v>
      </c>
      <c r="C60" s="6" t="s">
        <v>14</v>
      </c>
      <c r="D60" s="6" t="s">
        <v>21</v>
      </c>
      <c r="E60" s="6" t="s">
        <v>32</v>
      </c>
      <c r="F60" s="6" t="s">
        <v>28</v>
      </c>
      <c r="G60" s="6" t="s">
        <v>33</v>
      </c>
      <c r="H60" s="7">
        <v>44981.0</v>
      </c>
      <c r="I60" s="8">
        <v>68.0</v>
      </c>
      <c r="J60" s="8">
        <v>329.23</v>
      </c>
      <c r="K60" s="8">
        <v>9.04</v>
      </c>
      <c r="L60" s="27">
        <f t="shared" si="1"/>
        <v>22387.64</v>
      </c>
    </row>
    <row r="61">
      <c r="B61" s="6" t="s">
        <v>97</v>
      </c>
      <c r="C61" s="6" t="s">
        <v>20</v>
      </c>
      <c r="D61" s="6" t="s">
        <v>21</v>
      </c>
      <c r="E61" s="6" t="s">
        <v>22</v>
      </c>
      <c r="F61" s="6" t="s">
        <v>28</v>
      </c>
      <c r="G61" s="6" t="s">
        <v>33</v>
      </c>
      <c r="H61" s="7">
        <v>44982.0</v>
      </c>
      <c r="I61" s="8">
        <v>68.0</v>
      </c>
      <c r="J61" s="8">
        <v>496.11</v>
      </c>
      <c r="K61" s="8">
        <v>241.82</v>
      </c>
      <c r="L61" s="27">
        <f t="shared" si="1"/>
        <v>33735.48</v>
      </c>
    </row>
    <row r="62">
      <c r="B62" s="6" t="s">
        <v>98</v>
      </c>
      <c r="C62" s="6" t="s">
        <v>20</v>
      </c>
      <c r="D62" s="6" t="s">
        <v>15</v>
      </c>
      <c r="E62" s="6" t="s">
        <v>22</v>
      </c>
      <c r="F62" s="6" t="s">
        <v>17</v>
      </c>
      <c r="G62" s="6" t="s">
        <v>18</v>
      </c>
      <c r="H62" s="7">
        <v>44983.0</v>
      </c>
      <c r="I62" s="8">
        <v>313.0</v>
      </c>
      <c r="J62" s="8">
        <v>145.51</v>
      </c>
      <c r="K62" s="8">
        <v>147.19</v>
      </c>
      <c r="L62" s="27">
        <f t="shared" si="1"/>
        <v>45544.63</v>
      </c>
    </row>
    <row r="63">
      <c r="B63" s="6" t="s">
        <v>99</v>
      </c>
      <c r="C63" s="6" t="s">
        <v>26</v>
      </c>
      <c r="D63" s="6" t="s">
        <v>39</v>
      </c>
      <c r="E63" s="6" t="s">
        <v>32</v>
      </c>
      <c r="F63" s="6" t="s">
        <v>17</v>
      </c>
      <c r="G63" s="6" t="s">
        <v>33</v>
      </c>
      <c r="H63" s="7">
        <v>44984.0</v>
      </c>
      <c r="I63" s="8">
        <v>178.0</v>
      </c>
      <c r="J63" s="8">
        <v>182.78</v>
      </c>
      <c r="K63" s="8">
        <v>155.81</v>
      </c>
      <c r="L63" s="27">
        <f t="shared" si="1"/>
        <v>32534.84</v>
      </c>
    </row>
    <row r="64">
      <c r="B64" s="6" t="s">
        <v>100</v>
      </c>
      <c r="C64" s="6" t="s">
        <v>14</v>
      </c>
      <c r="D64" s="6" t="s">
        <v>39</v>
      </c>
      <c r="E64" s="6" t="s">
        <v>32</v>
      </c>
      <c r="F64" s="6" t="s">
        <v>17</v>
      </c>
      <c r="G64" s="6" t="s">
        <v>18</v>
      </c>
      <c r="H64" s="7">
        <v>44985.0</v>
      </c>
      <c r="I64" s="8">
        <v>278.0</v>
      </c>
      <c r="J64" s="8">
        <v>195.0</v>
      </c>
      <c r="K64" s="8">
        <v>226.65</v>
      </c>
      <c r="L64" s="27">
        <f t="shared" si="1"/>
        <v>54210</v>
      </c>
    </row>
    <row r="65">
      <c r="B65" s="6" t="s">
        <v>101</v>
      </c>
      <c r="C65" s="6" t="s">
        <v>26</v>
      </c>
      <c r="D65" s="6" t="s">
        <v>63</v>
      </c>
      <c r="E65" s="6" t="s">
        <v>22</v>
      </c>
      <c r="F65" s="6" t="s">
        <v>17</v>
      </c>
      <c r="G65" s="6" t="s">
        <v>33</v>
      </c>
      <c r="H65" s="7">
        <v>44986.0</v>
      </c>
      <c r="I65" s="8">
        <v>372.0</v>
      </c>
      <c r="J65" s="8">
        <v>235.58</v>
      </c>
      <c r="K65" s="8">
        <v>78.33</v>
      </c>
      <c r="L65" s="27">
        <f t="shared" si="1"/>
        <v>87635.76</v>
      </c>
    </row>
    <row r="66">
      <c r="B66" s="6" t="s">
        <v>102</v>
      </c>
      <c r="C66" s="6" t="s">
        <v>14</v>
      </c>
      <c r="D66" s="6" t="s">
        <v>39</v>
      </c>
      <c r="E66" s="6" t="s">
        <v>32</v>
      </c>
      <c r="F66" s="6" t="s">
        <v>28</v>
      </c>
      <c r="G66" s="6" t="s">
        <v>33</v>
      </c>
      <c r="H66" s="7">
        <v>44987.0</v>
      </c>
      <c r="I66" s="8">
        <v>54.0</v>
      </c>
      <c r="J66" s="8">
        <v>418.82</v>
      </c>
      <c r="K66" s="8">
        <v>86.28</v>
      </c>
      <c r="L66" s="27">
        <f t="shared" si="1"/>
        <v>22616.28</v>
      </c>
    </row>
    <row r="67">
      <c r="B67" s="6" t="s">
        <v>103</v>
      </c>
      <c r="C67" s="6" t="s">
        <v>14</v>
      </c>
      <c r="D67" s="6" t="s">
        <v>39</v>
      </c>
      <c r="E67" s="6" t="s">
        <v>22</v>
      </c>
      <c r="F67" s="6" t="s">
        <v>28</v>
      </c>
      <c r="G67" s="6" t="s">
        <v>18</v>
      </c>
      <c r="H67" s="7">
        <v>44988.0</v>
      </c>
      <c r="I67" s="8">
        <v>354.0</v>
      </c>
      <c r="J67" s="8">
        <v>121.72</v>
      </c>
      <c r="K67" s="8">
        <v>194.87</v>
      </c>
      <c r="L67" s="27">
        <f t="shared" si="1"/>
        <v>43088.88</v>
      </c>
    </row>
    <row r="68">
      <c r="B68" s="6" t="s">
        <v>104</v>
      </c>
      <c r="C68" s="6" t="s">
        <v>26</v>
      </c>
      <c r="D68" s="6" t="s">
        <v>39</v>
      </c>
      <c r="E68" s="6" t="s">
        <v>22</v>
      </c>
      <c r="F68" s="6" t="s">
        <v>17</v>
      </c>
      <c r="G68" s="6" t="s">
        <v>18</v>
      </c>
      <c r="H68" s="7">
        <v>44989.0</v>
      </c>
      <c r="I68" s="8">
        <v>190.0</v>
      </c>
      <c r="J68" s="8">
        <v>389.12</v>
      </c>
      <c r="K68" s="8">
        <v>302.19</v>
      </c>
      <c r="L68" s="27">
        <f t="shared" si="1"/>
        <v>73932.8</v>
      </c>
    </row>
    <row r="69">
      <c r="B69" s="6" t="s">
        <v>105</v>
      </c>
      <c r="C69" s="6"/>
      <c r="D69" s="6" t="s">
        <v>31</v>
      </c>
      <c r="E69" s="6" t="s">
        <v>16</v>
      </c>
      <c r="F69" s="6" t="s">
        <v>17</v>
      </c>
      <c r="G69" s="6" t="s">
        <v>18</v>
      </c>
      <c r="H69" s="7">
        <v>44990.0</v>
      </c>
      <c r="I69" s="8">
        <v>179.0</v>
      </c>
      <c r="J69" s="8">
        <v>205.63</v>
      </c>
      <c r="K69" s="8">
        <v>248.56</v>
      </c>
      <c r="L69" s="27">
        <f t="shared" si="1"/>
        <v>36807.77</v>
      </c>
    </row>
    <row r="70">
      <c r="B70" s="6" t="s">
        <v>106</v>
      </c>
      <c r="C70" s="6" t="s">
        <v>14</v>
      </c>
      <c r="D70" s="6" t="s">
        <v>63</v>
      </c>
      <c r="E70" s="6" t="s">
        <v>55</v>
      </c>
      <c r="F70" s="6" t="s">
        <v>28</v>
      </c>
      <c r="G70" s="6" t="s">
        <v>33</v>
      </c>
      <c r="H70" s="7">
        <v>44991.0</v>
      </c>
      <c r="I70" s="8">
        <v>365.0</v>
      </c>
      <c r="J70" s="8">
        <v>302.92</v>
      </c>
      <c r="K70" s="8">
        <v>120.35</v>
      </c>
      <c r="L70" s="27">
        <f t="shared" si="1"/>
        <v>110565.8</v>
      </c>
    </row>
    <row r="71">
      <c r="B71" s="6" t="s">
        <v>107</v>
      </c>
      <c r="C71" s="6" t="s">
        <v>61</v>
      </c>
      <c r="D71" s="6" t="s">
        <v>21</v>
      </c>
      <c r="E71" s="6" t="s">
        <v>22</v>
      </c>
      <c r="F71" s="6" t="s">
        <v>17</v>
      </c>
      <c r="G71" s="6" t="s">
        <v>33</v>
      </c>
      <c r="H71" s="7">
        <v>44992.0</v>
      </c>
      <c r="I71" s="8">
        <v>200.0</v>
      </c>
      <c r="J71" s="8">
        <v>318.11</v>
      </c>
      <c r="K71" s="8">
        <v>173.27</v>
      </c>
      <c r="L71" s="27">
        <f t="shared" si="1"/>
        <v>63622</v>
      </c>
    </row>
    <row r="72">
      <c r="B72" s="6" t="s">
        <v>108</v>
      </c>
      <c r="C72" s="6" t="s">
        <v>20</v>
      </c>
      <c r="D72" s="6" t="s">
        <v>15</v>
      </c>
      <c r="E72" s="6" t="s">
        <v>27</v>
      </c>
      <c r="F72" s="6" t="s">
        <v>28</v>
      </c>
      <c r="G72" s="6" t="s">
        <v>23</v>
      </c>
      <c r="H72" s="7">
        <v>44993.0</v>
      </c>
      <c r="I72" s="8">
        <v>164.0</v>
      </c>
      <c r="J72" s="8">
        <v>189.56</v>
      </c>
      <c r="K72" s="8">
        <v>69.92</v>
      </c>
      <c r="L72" s="27">
        <f t="shared" si="1"/>
        <v>31087.84</v>
      </c>
    </row>
    <row r="73">
      <c r="B73" s="6" t="s">
        <v>109</v>
      </c>
      <c r="C73" s="6" t="s">
        <v>26</v>
      </c>
      <c r="D73" s="6" t="s">
        <v>21</v>
      </c>
      <c r="E73" s="6" t="s">
        <v>55</v>
      </c>
      <c r="F73" s="6" t="s">
        <v>17</v>
      </c>
      <c r="G73" s="6" t="s">
        <v>18</v>
      </c>
      <c r="H73" s="7">
        <v>44994.0</v>
      </c>
      <c r="I73" s="8">
        <v>431.0</v>
      </c>
      <c r="J73" s="8">
        <v>258.74</v>
      </c>
      <c r="K73" s="8">
        <v>31.7</v>
      </c>
      <c r="L73" s="27">
        <f t="shared" si="1"/>
        <v>111516.94</v>
      </c>
    </row>
    <row r="74">
      <c r="B74" s="6" t="s">
        <v>110</v>
      </c>
      <c r="C74" s="6" t="s">
        <v>20</v>
      </c>
      <c r="D74" s="6" t="s">
        <v>63</v>
      </c>
      <c r="E74" s="6" t="s">
        <v>55</v>
      </c>
      <c r="F74" s="6" t="s">
        <v>17</v>
      </c>
      <c r="G74" s="6" t="s">
        <v>33</v>
      </c>
      <c r="H74" s="7">
        <v>44995.0</v>
      </c>
      <c r="I74" s="8">
        <v>197.0</v>
      </c>
      <c r="J74" s="8">
        <v>209.45</v>
      </c>
      <c r="K74" s="8">
        <v>313.51</v>
      </c>
      <c r="L74" s="27">
        <f t="shared" si="1"/>
        <v>41261.65</v>
      </c>
    </row>
    <row r="75">
      <c r="B75" s="6" t="s">
        <v>111</v>
      </c>
      <c r="C75" s="6" t="s">
        <v>61</v>
      </c>
      <c r="D75" s="6" t="s">
        <v>15</v>
      </c>
      <c r="E75" s="6" t="s">
        <v>55</v>
      </c>
      <c r="F75" s="6" t="s">
        <v>17</v>
      </c>
      <c r="G75" s="6" t="s">
        <v>33</v>
      </c>
      <c r="H75" s="7">
        <v>44996.0</v>
      </c>
      <c r="I75" s="8">
        <v>16.0</v>
      </c>
      <c r="J75" s="8">
        <v>39.22</v>
      </c>
      <c r="K75" s="8">
        <v>107.62</v>
      </c>
      <c r="L75" s="27">
        <f t="shared" si="1"/>
        <v>627.52</v>
      </c>
    </row>
    <row r="76">
      <c r="B76" s="6" t="s">
        <v>112</v>
      </c>
      <c r="C76" s="6" t="s">
        <v>61</v>
      </c>
      <c r="D76" s="6" t="s">
        <v>63</v>
      </c>
      <c r="E76" s="6" t="s">
        <v>16</v>
      </c>
      <c r="F76" s="6" t="s">
        <v>17</v>
      </c>
      <c r="G76" s="6" t="s">
        <v>18</v>
      </c>
      <c r="H76" s="7">
        <v>44997.0</v>
      </c>
      <c r="I76" s="8">
        <v>142.0</v>
      </c>
      <c r="J76" s="8">
        <v>221.4</v>
      </c>
      <c r="K76" s="8">
        <v>72.75</v>
      </c>
      <c r="L76" s="27">
        <f t="shared" si="1"/>
        <v>31438.8</v>
      </c>
    </row>
    <row r="77">
      <c r="B77" s="6" t="s">
        <v>113</v>
      </c>
      <c r="C77" s="6" t="s">
        <v>61</v>
      </c>
      <c r="D77" s="6" t="s">
        <v>39</v>
      </c>
      <c r="E77" s="6" t="s">
        <v>22</v>
      </c>
      <c r="F77" s="6" t="s">
        <v>17</v>
      </c>
      <c r="G77" s="6" t="s">
        <v>23</v>
      </c>
      <c r="H77" s="7">
        <v>44998.0</v>
      </c>
      <c r="I77" s="8">
        <v>244.0</v>
      </c>
      <c r="J77" s="8">
        <v>53.21</v>
      </c>
      <c r="K77" s="8">
        <v>277.26</v>
      </c>
      <c r="L77" s="27">
        <f t="shared" si="1"/>
        <v>12983.24</v>
      </c>
    </row>
    <row r="78">
      <c r="B78" s="6" t="s">
        <v>114</v>
      </c>
      <c r="C78" s="6" t="s">
        <v>26</v>
      </c>
      <c r="D78" s="6" t="s">
        <v>15</v>
      </c>
      <c r="E78" s="6" t="s">
        <v>16</v>
      </c>
      <c r="F78" s="6" t="s">
        <v>17</v>
      </c>
      <c r="G78" s="6" t="s">
        <v>18</v>
      </c>
      <c r="H78" s="7">
        <v>44999.0</v>
      </c>
      <c r="I78" s="8">
        <v>54.0</v>
      </c>
      <c r="J78" s="8">
        <v>205.49</v>
      </c>
      <c r="K78" s="8">
        <v>247.98</v>
      </c>
      <c r="L78" s="27">
        <f t="shared" si="1"/>
        <v>11096.46</v>
      </c>
    </row>
    <row r="79">
      <c r="B79" s="6" t="s">
        <v>115</v>
      </c>
      <c r="C79" s="6" t="s">
        <v>61</v>
      </c>
      <c r="D79" s="6" t="s">
        <v>39</v>
      </c>
      <c r="E79" s="6" t="s">
        <v>22</v>
      </c>
      <c r="F79" s="6" t="s">
        <v>17</v>
      </c>
      <c r="G79" s="6" t="s">
        <v>23</v>
      </c>
      <c r="H79" s="7">
        <v>45000.0</v>
      </c>
      <c r="I79" s="8">
        <v>323.0</v>
      </c>
      <c r="J79" s="8">
        <v>298.49</v>
      </c>
      <c r="K79" s="8">
        <v>254.01</v>
      </c>
      <c r="L79" s="27">
        <f t="shared" si="1"/>
        <v>96412.27</v>
      </c>
    </row>
    <row r="80">
      <c r="B80" s="6" t="s">
        <v>116</v>
      </c>
      <c r="C80" s="6" t="s">
        <v>26</v>
      </c>
      <c r="D80" s="6" t="s">
        <v>21</v>
      </c>
      <c r="E80" s="6" t="s">
        <v>16</v>
      </c>
      <c r="F80" s="6" t="s">
        <v>28</v>
      </c>
      <c r="G80" s="6" t="s">
        <v>33</v>
      </c>
      <c r="H80" s="7">
        <v>45001.0</v>
      </c>
      <c r="I80" s="8">
        <v>258.0</v>
      </c>
      <c r="J80" s="8">
        <v>291.81</v>
      </c>
      <c r="K80" s="8">
        <v>93.1</v>
      </c>
      <c r="L80" s="27">
        <f t="shared" si="1"/>
        <v>75286.98</v>
      </c>
    </row>
    <row r="81">
      <c r="B81" s="6" t="s">
        <v>117</v>
      </c>
      <c r="C81" s="6" t="s">
        <v>61</v>
      </c>
      <c r="D81" s="6" t="s">
        <v>21</v>
      </c>
      <c r="E81" s="6" t="s">
        <v>16</v>
      </c>
      <c r="F81" s="6" t="s">
        <v>28</v>
      </c>
      <c r="G81" s="6" t="s">
        <v>23</v>
      </c>
      <c r="H81" s="7">
        <v>45002.0</v>
      </c>
      <c r="I81" s="8">
        <v>40.0</v>
      </c>
      <c r="J81" s="8">
        <v>333.0</v>
      </c>
      <c r="K81" s="8">
        <v>94.59</v>
      </c>
      <c r="L81" s="27">
        <f t="shared" si="1"/>
        <v>13320</v>
      </c>
    </row>
    <row r="82">
      <c r="B82" s="6" t="s">
        <v>118</v>
      </c>
      <c r="C82" s="6" t="s">
        <v>20</v>
      </c>
      <c r="D82" s="6" t="s">
        <v>15</v>
      </c>
      <c r="E82" s="6" t="s">
        <v>27</v>
      </c>
      <c r="F82" s="6" t="s">
        <v>28</v>
      </c>
      <c r="G82" s="6" t="s">
        <v>33</v>
      </c>
      <c r="H82" s="7">
        <v>45003.0</v>
      </c>
      <c r="I82" s="8">
        <v>32.0</v>
      </c>
      <c r="J82" s="8">
        <v>52.15</v>
      </c>
      <c r="K82" s="8">
        <v>89.88</v>
      </c>
      <c r="L82" s="27">
        <f t="shared" si="1"/>
        <v>1668.8</v>
      </c>
    </row>
    <row r="83">
      <c r="B83" s="6" t="s">
        <v>119</v>
      </c>
      <c r="C83" s="6" t="s">
        <v>20</v>
      </c>
      <c r="D83" s="6" t="s">
        <v>15</v>
      </c>
      <c r="E83" s="6" t="s">
        <v>16</v>
      </c>
      <c r="F83" s="6" t="s">
        <v>28</v>
      </c>
      <c r="G83" s="6" t="s">
        <v>18</v>
      </c>
      <c r="H83" s="7">
        <v>45004.0</v>
      </c>
      <c r="I83" s="8">
        <v>435.0</v>
      </c>
      <c r="J83" s="8">
        <v>327.8</v>
      </c>
      <c r="K83" s="8">
        <v>71.15</v>
      </c>
      <c r="L83" s="27">
        <f t="shared" si="1"/>
        <v>142593</v>
      </c>
    </row>
    <row r="84">
      <c r="B84" s="6" t="s">
        <v>120</v>
      </c>
      <c r="C84" s="6" t="s">
        <v>14</v>
      </c>
      <c r="D84" s="6" t="s">
        <v>63</v>
      </c>
      <c r="E84" s="6" t="s">
        <v>32</v>
      </c>
      <c r="F84" s="6" t="s">
        <v>28</v>
      </c>
      <c r="G84" s="6" t="s">
        <v>18</v>
      </c>
      <c r="H84" s="7">
        <v>45005.0</v>
      </c>
      <c r="I84" s="8">
        <v>403.0</v>
      </c>
      <c r="J84" s="8">
        <v>159.51</v>
      </c>
      <c r="K84" s="8">
        <v>262.98</v>
      </c>
      <c r="L84" s="27">
        <f t="shared" si="1"/>
        <v>64282.53</v>
      </c>
    </row>
    <row r="85">
      <c r="B85" s="6" t="s">
        <v>121</v>
      </c>
      <c r="C85" s="6" t="s">
        <v>20</v>
      </c>
      <c r="D85" s="6" t="s">
        <v>63</v>
      </c>
      <c r="E85" s="6" t="s">
        <v>27</v>
      </c>
      <c r="F85" s="6" t="s">
        <v>17</v>
      </c>
      <c r="G85" s="6" t="s">
        <v>18</v>
      </c>
      <c r="H85" s="7">
        <v>45006.0</v>
      </c>
      <c r="I85" s="8">
        <v>169.0</v>
      </c>
      <c r="J85" s="6"/>
      <c r="K85" s="8">
        <v>339.51</v>
      </c>
      <c r="L85" s="27">
        <f t="shared" si="1"/>
        <v>0</v>
      </c>
    </row>
    <row r="86">
      <c r="B86" s="6" t="s">
        <v>122</v>
      </c>
      <c r="C86" s="6" t="s">
        <v>14</v>
      </c>
      <c r="D86" s="6" t="s">
        <v>39</v>
      </c>
      <c r="E86" s="6" t="s">
        <v>16</v>
      </c>
      <c r="F86" s="6" t="s">
        <v>17</v>
      </c>
      <c r="G86" s="6" t="s">
        <v>23</v>
      </c>
      <c r="H86" s="7">
        <v>45007.0</v>
      </c>
      <c r="I86" s="8">
        <v>372.0</v>
      </c>
      <c r="J86" s="8">
        <v>429.7</v>
      </c>
      <c r="K86" s="8">
        <v>290.28</v>
      </c>
      <c r="L86" s="27">
        <f t="shared" si="1"/>
        <v>159848.4</v>
      </c>
    </row>
    <row r="87">
      <c r="B87" s="6" t="s">
        <v>123</v>
      </c>
      <c r="C87" s="6" t="s">
        <v>20</v>
      </c>
      <c r="D87" s="6" t="s">
        <v>15</v>
      </c>
      <c r="E87" s="6" t="s">
        <v>55</v>
      </c>
      <c r="F87" s="6" t="s">
        <v>28</v>
      </c>
      <c r="G87" s="6" t="s">
        <v>33</v>
      </c>
      <c r="H87" s="7">
        <v>45008.0</v>
      </c>
      <c r="I87" s="8">
        <v>446.0</v>
      </c>
      <c r="J87" s="8">
        <v>9.47</v>
      </c>
      <c r="K87" s="8">
        <v>317.25</v>
      </c>
      <c r="L87" s="27">
        <f t="shared" si="1"/>
        <v>4223.62</v>
      </c>
    </row>
    <row r="88">
      <c r="B88" s="6" t="s">
        <v>124</v>
      </c>
      <c r="C88" s="6" t="s">
        <v>26</v>
      </c>
      <c r="D88" s="6" t="s">
        <v>21</v>
      </c>
      <c r="E88" s="6" t="s">
        <v>32</v>
      </c>
      <c r="F88" s="6" t="s">
        <v>17</v>
      </c>
      <c r="G88" s="6" t="s">
        <v>18</v>
      </c>
      <c r="H88" s="7">
        <v>45009.0</v>
      </c>
      <c r="I88" s="8">
        <v>167.0</v>
      </c>
      <c r="J88" s="8">
        <v>296.26</v>
      </c>
      <c r="K88" s="8">
        <v>163.11</v>
      </c>
      <c r="L88" s="27">
        <f t="shared" si="1"/>
        <v>49475.42</v>
      </c>
    </row>
    <row r="89">
      <c r="B89" s="6" t="s">
        <v>125</v>
      </c>
      <c r="C89" s="6" t="s">
        <v>20</v>
      </c>
      <c r="D89" s="6" t="s">
        <v>63</v>
      </c>
      <c r="E89" s="6" t="s">
        <v>32</v>
      </c>
      <c r="F89" s="6" t="s">
        <v>28</v>
      </c>
      <c r="G89" s="6" t="s">
        <v>18</v>
      </c>
      <c r="H89" s="7">
        <v>45010.0</v>
      </c>
      <c r="I89" s="8">
        <v>48.0</v>
      </c>
      <c r="J89" s="8">
        <v>301.36</v>
      </c>
      <c r="K89" s="8">
        <v>262.32</v>
      </c>
      <c r="L89" s="27">
        <f t="shared" si="1"/>
        <v>14465.28</v>
      </c>
    </row>
    <row r="90">
      <c r="B90" s="6" t="s">
        <v>126</v>
      </c>
      <c r="C90" s="6" t="s">
        <v>14</v>
      </c>
      <c r="D90" s="6" t="s">
        <v>63</v>
      </c>
      <c r="E90" s="6" t="s">
        <v>32</v>
      </c>
      <c r="F90" s="6" t="s">
        <v>28</v>
      </c>
      <c r="G90" s="6" t="s">
        <v>33</v>
      </c>
      <c r="H90" s="7">
        <v>45011.0</v>
      </c>
      <c r="I90" s="8">
        <v>424.0</v>
      </c>
      <c r="J90" s="8">
        <v>201.35</v>
      </c>
      <c r="K90" s="8">
        <v>142.99</v>
      </c>
      <c r="L90" s="27">
        <f t="shared" si="1"/>
        <v>85372.4</v>
      </c>
    </row>
    <row r="91">
      <c r="B91" s="6" t="s">
        <v>127</v>
      </c>
      <c r="C91" s="6" t="s">
        <v>14</v>
      </c>
      <c r="D91" s="6" t="s">
        <v>21</v>
      </c>
      <c r="E91" s="6" t="s">
        <v>27</v>
      </c>
      <c r="F91" s="6" t="s">
        <v>17</v>
      </c>
      <c r="G91" s="6" t="s">
        <v>18</v>
      </c>
      <c r="H91" s="7">
        <v>45012.0</v>
      </c>
      <c r="I91" s="8">
        <v>91.0</v>
      </c>
      <c r="J91" s="8">
        <v>122.33</v>
      </c>
      <c r="K91" s="8">
        <v>211.15</v>
      </c>
      <c r="L91" s="27">
        <f t="shared" si="1"/>
        <v>11132.03</v>
      </c>
    </row>
    <row r="92">
      <c r="B92" s="6" t="s">
        <v>128</v>
      </c>
      <c r="C92" s="6" t="s">
        <v>61</v>
      </c>
      <c r="D92" s="6" t="s">
        <v>63</v>
      </c>
      <c r="E92" s="6" t="s">
        <v>16</v>
      </c>
      <c r="F92" s="6" t="s">
        <v>17</v>
      </c>
      <c r="G92" s="6" t="s">
        <v>33</v>
      </c>
      <c r="H92" s="7">
        <v>45013.0</v>
      </c>
      <c r="I92" s="8">
        <v>365.0</v>
      </c>
      <c r="J92" s="8">
        <v>121.16</v>
      </c>
      <c r="K92" s="8">
        <v>193.69</v>
      </c>
      <c r="L92" s="27">
        <f t="shared" si="1"/>
        <v>44223.4</v>
      </c>
    </row>
    <row r="93">
      <c r="B93" s="6" t="s">
        <v>129</v>
      </c>
      <c r="C93" s="6" t="s">
        <v>26</v>
      </c>
      <c r="D93" s="6" t="s">
        <v>39</v>
      </c>
      <c r="E93" s="6" t="s">
        <v>16</v>
      </c>
      <c r="F93" s="6" t="s">
        <v>17</v>
      </c>
      <c r="G93" s="6" t="s">
        <v>33</v>
      </c>
      <c r="H93" s="7">
        <v>45014.0</v>
      </c>
      <c r="I93" s="8">
        <v>267.0</v>
      </c>
      <c r="J93" s="8">
        <v>442.44</v>
      </c>
      <c r="K93" s="8">
        <v>72.4</v>
      </c>
      <c r="L93" s="27">
        <f t="shared" si="1"/>
        <v>118131.48</v>
      </c>
    </row>
    <row r="94">
      <c r="B94" s="6" t="s">
        <v>130</v>
      </c>
      <c r="C94" s="6" t="s">
        <v>20</v>
      </c>
      <c r="D94" s="6" t="s">
        <v>15</v>
      </c>
      <c r="E94" s="6" t="s">
        <v>55</v>
      </c>
      <c r="F94" s="6" t="s">
        <v>28</v>
      </c>
      <c r="G94" s="6" t="s">
        <v>33</v>
      </c>
      <c r="H94" s="7">
        <v>45015.0</v>
      </c>
      <c r="I94" s="8">
        <v>215.0</v>
      </c>
      <c r="J94" s="8">
        <v>223.8</v>
      </c>
      <c r="K94" s="8">
        <v>156.06</v>
      </c>
      <c r="L94" s="27">
        <f t="shared" si="1"/>
        <v>48117</v>
      </c>
    </row>
    <row r="95">
      <c r="B95" s="6" t="s">
        <v>131</v>
      </c>
      <c r="C95" s="6" t="s">
        <v>61</v>
      </c>
      <c r="D95" s="6" t="s">
        <v>21</v>
      </c>
      <c r="E95" s="6" t="s">
        <v>55</v>
      </c>
      <c r="F95" s="6" t="s">
        <v>17</v>
      </c>
      <c r="G95" s="6" t="s">
        <v>33</v>
      </c>
      <c r="H95" s="7">
        <v>45016.0</v>
      </c>
      <c r="I95" s="8">
        <v>86.0</v>
      </c>
      <c r="J95" s="8">
        <v>168.79</v>
      </c>
      <c r="K95" s="8">
        <v>385.6</v>
      </c>
      <c r="L95" s="27">
        <f t="shared" si="1"/>
        <v>14515.94</v>
      </c>
    </row>
    <row r="96">
      <c r="B96" s="6" t="s">
        <v>132</v>
      </c>
      <c r="C96" s="6" t="s">
        <v>20</v>
      </c>
      <c r="D96" s="6" t="s">
        <v>15</v>
      </c>
      <c r="E96" s="6" t="s">
        <v>32</v>
      </c>
      <c r="F96" s="6" t="s">
        <v>28</v>
      </c>
      <c r="G96" s="6" t="s">
        <v>33</v>
      </c>
      <c r="H96" s="7">
        <v>45017.0</v>
      </c>
      <c r="I96" s="8">
        <v>486.0</v>
      </c>
      <c r="J96" s="8">
        <v>227.14</v>
      </c>
      <c r="K96" s="8">
        <v>100.93</v>
      </c>
      <c r="L96" s="27">
        <f t="shared" si="1"/>
        <v>110390.04</v>
      </c>
    </row>
    <row r="97">
      <c r="B97" s="6" t="s">
        <v>133</v>
      </c>
      <c r="C97" s="6" t="s">
        <v>20</v>
      </c>
      <c r="D97" s="6" t="s">
        <v>63</v>
      </c>
      <c r="E97" s="6" t="s">
        <v>55</v>
      </c>
      <c r="F97" s="6" t="s">
        <v>28</v>
      </c>
      <c r="G97" s="6" t="s">
        <v>23</v>
      </c>
      <c r="H97" s="7">
        <v>45018.0</v>
      </c>
      <c r="I97" s="8">
        <v>21.0</v>
      </c>
      <c r="J97" s="6"/>
      <c r="K97" s="8">
        <v>55.25</v>
      </c>
      <c r="L97" s="27">
        <f t="shared" si="1"/>
        <v>0</v>
      </c>
    </row>
    <row r="98">
      <c r="B98" s="6" t="s">
        <v>134</v>
      </c>
      <c r="C98" s="6" t="s">
        <v>61</v>
      </c>
      <c r="D98" s="6" t="s">
        <v>63</v>
      </c>
      <c r="E98" s="6" t="s">
        <v>27</v>
      </c>
      <c r="F98" s="6" t="s">
        <v>28</v>
      </c>
      <c r="G98" s="6" t="s">
        <v>18</v>
      </c>
      <c r="H98" s="7">
        <v>45019.0</v>
      </c>
      <c r="I98" s="8">
        <v>304.0</v>
      </c>
      <c r="J98" s="8">
        <v>77.15</v>
      </c>
      <c r="K98" s="8">
        <v>168.6</v>
      </c>
      <c r="L98" s="27">
        <f t="shared" si="1"/>
        <v>23453.6</v>
      </c>
    </row>
    <row r="99">
      <c r="B99" s="6" t="s">
        <v>135</v>
      </c>
      <c r="C99" s="6" t="s">
        <v>61</v>
      </c>
      <c r="D99" s="6" t="s">
        <v>21</v>
      </c>
      <c r="E99" s="6" t="s">
        <v>16</v>
      </c>
      <c r="F99" s="6" t="s">
        <v>17</v>
      </c>
      <c r="G99" s="6" t="s">
        <v>23</v>
      </c>
      <c r="H99" s="7">
        <v>45020.0</v>
      </c>
      <c r="I99" s="8">
        <v>459.0</v>
      </c>
      <c r="J99" s="8">
        <v>227.47</v>
      </c>
      <c r="K99" s="8">
        <v>316.55</v>
      </c>
      <c r="L99" s="27">
        <f t="shared" si="1"/>
        <v>104408.73</v>
      </c>
    </row>
    <row r="100">
      <c r="B100" s="6" t="s">
        <v>136</v>
      </c>
      <c r="C100" s="6" t="s">
        <v>61</v>
      </c>
      <c r="D100" s="6" t="s">
        <v>39</v>
      </c>
      <c r="E100" s="6" t="s">
        <v>32</v>
      </c>
      <c r="F100" s="6" t="s">
        <v>17</v>
      </c>
      <c r="G100" s="6" t="s">
        <v>18</v>
      </c>
      <c r="H100" s="7">
        <v>45021.0</v>
      </c>
      <c r="I100" s="8">
        <v>233.0</v>
      </c>
      <c r="J100" s="8">
        <v>296.0</v>
      </c>
      <c r="K100" s="8">
        <v>233.69</v>
      </c>
      <c r="L100" s="27">
        <f t="shared" si="1"/>
        <v>68968</v>
      </c>
    </row>
    <row r="101">
      <c r="B101" s="6" t="s">
        <v>137</v>
      </c>
      <c r="C101" s="6" t="s">
        <v>61</v>
      </c>
      <c r="D101" s="6" t="s">
        <v>31</v>
      </c>
      <c r="E101" s="6" t="s">
        <v>55</v>
      </c>
      <c r="F101" s="6" t="s">
        <v>28</v>
      </c>
      <c r="G101" s="6" t="s">
        <v>23</v>
      </c>
      <c r="H101" s="7">
        <v>45022.0</v>
      </c>
      <c r="I101" s="8">
        <v>22.0</v>
      </c>
      <c r="J101" s="8">
        <v>474.55</v>
      </c>
      <c r="K101" s="8">
        <v>273.03</v>
      </c>
      <c r="L101" s="27">
        <f t="shared" si="1"/>
        <v>10440.1</v>
      </c>
    </row>
    <row r="102">
      <c r="B102" s="6" t="s">
        <v>138</v>
      </c>
      <c r="C102" s="6" t="s">
        <v>61</v>
      </c>
      <c r="D102" s="6" t="s">
        <v>21</v>
      </c>
      <c r="E102" s="6" t="s">
        <v>27</v>
      </c>
      <c r="F102" s="6" t="s">
        <v>17</v>
      </c>
      <c r="G102" s="6" t="s">
        <v>33</v>
      </c>
      <c r="H102" s="7">
        <v>45023.0</v>
      </c>
      <c r="I102" s="8">
        <v>55.0</v>
      </c>
      <c r="J102" s="8">
        <v>130.0</v>
      </c>
      <c r="K102" s="8">
        <v>77.5</v>
      </c>
      <c r="L102" s="27">
        <f t="shared" si="1"/>
        <v>7150</v>
      </c>
    </row>
    <row r="103">
      <c r="B103" s="6" t="s">
        <v>139</v>
      </c>
      <c r="C103" s="6" t="s">
        <v>20</v>
      </c>
      <c r="D103" s="6" t="s">
        <v>31</v>
      </c>
      <c r="E103" s="6" t="s">
        <v>27</v>
      </c>
      <c r="F103" s="6" t="s">
        <v>17</v>
      </c>
      <c r="G103" s="6" t="s">
        <v>18</v>
      </c>
      <c r="H103" s="7">
        <v>45024.0</v>
      </c>
      <c r="I103" s="8">
        <v>164.0</v>
      </c>
      <c r="J103" s="8">
        <v>182.83</v>
      </c>
      <c r="K103" s="8">
        <v>248.34</v>
      </c>
      <c r="L103" s="27">
        <f t="shared" si="1"/>
        <v>29984.12</v>
      </c>
    </row>
    <row r="104">
      <c r="B104" s="6" t="s">
        <v>140</v>
      </c>
      <c r="C104" s="6" t="s">
        <v>61</v>
      </c>
      <c r="D104" s="6" t="s">
        <v>31</v>
      </c>
      <c r="E104" s="6" t="s">
        <v>55</v>
      </c>
      <c r="F104" s="6" t="s">
        <v>17</v>
      </c>
      <c r="G104" s="6" t="s">
        <v>18</v>
      </c>
      <c r="H104" s="7">
        <v>45025.0</v>
      </c>
      <c r="I104" s="8">
        <v>122.0</v>
      </c>
      <c r="J104" s="8">
        <v>192.78</v>
      </c>
      <c r="K104" s="8">
        <v>130.75</v>
      </c>
      <c r="L104" s="27">
        <f t="shared" si="1"/>
        <v>23519.16</v>
      </c>
    </row>
    <row r="105">
      <c r="B105" s="6" t="s">
        <v>141</v>
      </c>
      <c r="C105" s="6" t="s">
        <v>26</v>
      </c>
      <c r="D105" s="6" t="s">
        <v>39</v>
      </c>
      <c r="E105" s="6" t="s">
        <v>16</v>
      </c>
      <c r="F105" s="6" t="s">
        <v>28</v>
      </c>
      <c r="G105" s="6" t="s">
        <v>23</v>
      </c>
      <c r="H105" s="7">
        <v>45026.0</v>
      </c>
      <c r="I105" s="8">
        <v>242.0</v>
      </c>
      <c r="J105" s="8">
        <v>304.74</v>
      </c>
      <c r="K105" s="8">
        <v>334.05</v>
      </c>
      <c r="L105" s="27">
        <f t="shared" si="1"/>
        <v>73747.08</v>
      </c>
    </row>
    <row r="106">
      <c r="B106" s="6" t="s">
        <v>142</v>
      </c>
      <c r="C106" s="6" t="s">
        <v>14</v>
      </c>
      <c r="D106" s="6" t="s">
        <v>31</v>
      </c>
      <c r="E106" s="6" t="s">
        <v>55</v>
      </c>
      <c r="F106" s="6" t="s">
        <v>28</v>
      </c>
      <c r="G106" s="6" t="s">
        <v>23</v>
      </c>
      <c r="H106" s="7">
        <v>45027.0</v>
      </c>
      <c r="I106" s="8">
        <v>26.0</v>
      </c>
      <c r="J106" s="8">
        <v>181.58</v>
      </c>
      <c r="K106" s="8">
        <v>252.46</v>
      </c>
      <c r="L106" s="27">
        <f t="shared" si="1"/>
        <v>4721.08</v>
      </c>
    </row>
    <row r="107">
      <c r="B107" s="6" t="s">
        <v>143</v>
      </c>
      <c r="C107" s="6" t="s">
        <v>61</v>
      </c>
      <c r="D107" s="6" t="s">
        <v>31</v>
      </c>
      <c r="E107" s="6" t="s">
        <v>32</v>
      </c>
      <c r="F107" s="6" t="s">
        <v>17</v>
      </c>
      <c r="G107" s="6" t="s">
        <v>18</v>
      </c>
      <c r="H107" s="7">
        <v>45028.0</v>
      </c>
      <c r="I107" s="8">
        <v>369.0</v>
      </c>
      <c r="J107" s="8">
        <v>269.09</v>
      </c>
      <c r="K107" s="8">
        <v>81.14</v>
      </c>
      <c r="L107" s="27">
        <f t="shared" si="1"/>
        <v>99294.21</v>
      </c>
    </row>
    <row r="108">
      <c r="B108" s="6" t="s">
        <v>144</v>
      </c>
      <c r="C108" s="6" t="s">
        <v>61</v>
      </c>
      <c r="D108" s="6" t="s">
        <v>39</v>
      </c>
      <c r="E108" s="6" t="s">
        <v>55</v>
      </c>
      <c r="F108" s="6" t="s">
        <v>28</v>
      </c>
      <c r="G108" s="6" t="s">
        <v>23</v>
      </c>
      <c r="H108" s="7">
        <v>45029.0</v>
      </c>
      <c r="I108" s="8">
        <v>232.0</v>
      </c>
      <c r="J108" s="8">
        <v>391.99</v>
      </c>
      <c r="K108" s="8">
        <v>27.72</v>
      </c>
      <c r="L108" s="27">
        <f t="shared" si="1"/>
        <v>90941.68</v>
      </c>
    </row>
    <row r="109">
      <c r="B109" s="6" t="s">
        <v>145</v>
      </c>
      <c r="C109" s="6" t="s">
        <v>20</v>
      </c>
      <c r="D109" s="6" t="s">
        <v>31</v>
      </c>
      <c r="E109" s="6" t="s">
        <v>27</v>
      </c>
      <c r="F109" s="6" t="s">
        <v>17</v>
      </c>
      <c r="G109" s="6" t="s">
        <v>23</v>
      </c>
      <c r="H109" s="7">
        <v>45030.0</v>
      </c>
      <c r="I109" s="8">
        <v>363.0</v>
      </c>
      <c r="J109" s="8">
        <v>354.17</v>
      </c>
      <c r="K109" s="8">
        <v>18.97</v>
      </c>
      <c r="L109" s="27">
        <f t="shared" si="1"/>
        <v>128563.71</v>
      </c>
    </row>
    <row r="110">
      <c r="B110" s="6" t="s">
        <v>146</v>
      </c>
      <c r="C110" s="6" t="s">
        <v>61</v>
      </c>
      <c r="D110" s="6" t="s">
        <v>31</v>
      </c>
      <c r="E110" s="6" t="s">
        <v>55</v>
      </c>
      <c r="F110" s="6" t="s">
        <v>17</v>
      </c>
      <c r="G110" s="6" t="s">
        <v>23</v>
      </c>
      <c r="H110" s="7">
        <v>45031.0</v>
      </c>
      <c r="I110" s="8">
        <v>197.0</v>
      </c>
      <c r="J110" s="8">
        <v>225.95</v>
      </c>
      <c r="K110" s="8">
        <v>149.82</v>
      </c>
      <c r="L110" s="27">
        <f t="shared" si="1"/>
        <v>44512.15</v>
      </c>
    </row>
    <row r="111">
      <c r="B111" s="6" t="s">
        <v>147</v>
      </c>
      <c r="C111" s="6" t="s">
        <v>61</v>
      </c>
      <c r="D111" s="6" t="s">
        <v>31</v>
      </c>
      <c r="E111" s="6" t="s">
        <v>16</v>
      </c>
      <c r="F111" s="6" t="s">
        <v>17</v>
      </c>
      <c r="G111" s="6" t="s">
        <v>33</v>
      </c>
      <c r="H111" s="7">
        <v>45032.0</v>
      </c>
      <c r="I111" s="8">
        <v>457.0</v>
      </c>
      <c r="J111" s="8">
        <v>432.79</v>
      </c>
      <c r="K111" s="8">
        <v>107.81</v>
      </c>
      <c r="L111" s="27">
        <f t="shared" si="1"/>
        <v>197785.03</v>
      </c>
    </row>
    <row r="112">
      <c r="B112" s="6" t="s">
        <v>148</v>
      </c>
      <c r="C112" s="6" t="s">
        <v>61</v>
      </c>
      <c r="D112" s="6" t="s">
        <v>21</v>
      </c>
      <c r="E112" s="6" t="s">
        <v>22</v>
      </c>
      <c r="F112" s="6" t="s">
        <v>17</v>
      </c>
      <c r="G112" s="6" t="s">
        <v>33</v>
      </c>
      <c r="H112" s="7">
        <v>45033.0</v>
      </c>
      <c r="I112" s="8">
        <v>353.0</v>
      </c>
      <c r="J112" s="8">
        <v>281.28</v>
      </c>
      <c r="K112" s="8">
        <v>259.14</v>
      </c>
      <c r="L112" s="27">
        <f t="shared" si="1"/>
        <v>99291.84</v>
      </c>
    </row>
    <row r="113">
      <c r="B113" s="6" t="s">
        <v>149</v>
      </c>
      <c r="C113" s="6" t="s">
        <v>20</v>
      </c>
      <c r="D113" s="6" t="s">
        <v>21</v>
      </c>
      <c r="E113" s="6" t="s">
        <v>55</v>
      </c>
      <c r="F113" s="6" t="s">
        <v>28</v>
      </c>
      <c r="G113" s="6" t="s">
        <v>23</v>
      </c>
      <c r="H113" s="7">
        <v>45034.0</v>
      </c>
      <c r="I113" s="8">
        <v>374.0</v>
      </c>
      <c r="J113" s="8">
        <v>272.25</v>
      </c>
      <c r="K113" s="8">
        <v>200.73</v>
      </c>
      <c r="L113" s="27">
        <f t="shared" si="1"/>
        <v>101821.5</v>
      </c>
    </row>
    <row r="114">
      <c r="B114" s="6" t="s">
        <v>150</v>
      </c>
      <c r="C114" s="6" t="s">
        <v>61</v>
      </c>
      <c r="D114" s="6" t="s">
        <v>21</v>
      </c>
      <c r="E114" s="6" t="s">
        <v>16</v>
      </c>
      <c r="F114" s="6" t="s">
        <v>28</v>
      </c>
      <c r="G114" s="6" t="s">
        <v>23</v>
      </c>
      <c r="H114" s="7">
        <v>45035.0</v>
      </c>
      <c r="I114" s="8">
        <v>172.0</v>
      </c>
      <c r="J114" s="8">
        <v>21.92</v>
      </c>
      <c r="K114" s="8">
        <v>107.88</v>
      </c>
      <c r="L114" s="27">
        <f t="shared" si="1"/>
        <v>3770.24</v>
      </c>
    </row>
    <row r="115">
      <c r="B115" s="6" t="s">
        <v>151</v>
      </c>
      <c r="C115" s="6" t="s">
        <v>14</v>
      </c>
      <c r="D115" s="6" t="s">
        <v>39</v>
      </c>
      <c r="E115" s="6" t="s">
        <v>16</v>
      </c>
      <c r="F115" s="6" t="s">
        <v>28</v>
      </c>
      <c r="G115" s="6" t="s">
        <v>33</v>
      </c>
      <c r="H115" s="7">
        <v>45036.0</v>
      </c>
      <c r="I115" s="8">
        <v>335.0</v>
      </c>
      <c r="J115" s="8">
        <v>493.41</v>
      </c>
      <c r="K115" s="8">
        <v>61.4</v>
      </c>
      <c r="L115" s="27">
        <f t="shared" si="1"/>
        <v>165292.35</v>
      </c>
    </row>
    <row r="116">
      <c r="B116" s="6" t="s">
        <v>152</v>
      </c>
      <c r="C116" s="6" t="s">
        <v>20</v>
      </c>
      <c r="D116" s="6" t="s">
        <v>63</v>
      </c>
      <c r="E116" s="6" t="s">
        <v>27</v>
      </c>
      <c r="F116" s="6" t="s">
        <v>17</v>
      </c>
      <c r="G116" s="6" t="s">
        <v>33</v>
      </c>
      <c r="H116" s="7">
        <v>45037.0</v>
      </c>
      <c r="I116" s="8">
        <v>476.0</v>
      </c>
      <c r="J116" s="8">
        <v>65.87</v>
      </c>
      <c r="K116" s="8">
        <v>52.63</v>
      </c>
      <c r="L116" s="27">
        <f t="shared" si="1"/>
        <v>31354.12</v>
      </c>
    </row>
    <row r="117">
      <c r="B117" s="6" t="s">
        <v>153</v>
      </c>
      <c r="C117" s="6" t="s">
        <v>14</v>
      </c>
      <c r="D117" s="6" t="s">
        <v>31</v>
      </c>
      <c r="E117" s="6" t="s">
        <v>16</v>
      </c>
      <c r="F117" s="6" t="s">
        <v>17</v>
      </c>
      <c r="G117" s="6" t="s">
        <v>18</v>
      </c>
      <c r="H117" s="7">
        <v>45038.0</v>
      </c>
      <c r="I117" s="8">
        <v>423.0</v>
      </c>
      <c r="J117" s="8">
        <v>119.41</v>
      </c>
      <c r="K117" s="8">
        <v>346.13</v>
      </c>
      <c r="L117" s="27">
        <f t="shared" si="1"/>
        <v>50510.43</v>
      </c>
    </row>
    <row r="118">
      <c r="B118" s="6" t="s">
        <v>154</v>
      </c>
      <c r="C118" s="6" t="s">
        <v>20</v>
      </c>
      <c r="D118" s="6" t="s">
        <v>31</v>
      </c>
      <c r="E118" s="6" t="s">
        <v>16</v>
      </c>
      <c r="F118" s="6" t="s">
        <v>17</v>
      </c>
      <c r="G118" s="6" t="s">
        <v>18</v>
      </c>
      <c r="H118" s="7">
        <v>45039.0</v>
      </c>
      <c r="I118" s="8">
        <v>464.0</v>
      </c>
      <c r="J118" s="8">
        <v>30.59</v>
      </c>
      <c r="K118" s="8">
        <v>98.9</v>
      </c>
      <c r="L118" s="27">
        <f t="shared" si="1"/>
        <v>14193.76</v>
      </c>
    </row>
    <row r="119">
      <c r="B119" s="6" t="s">
        <v>155</v>
      </c>
      <c r="C119" s="6" t="s">
        <v>61</v>
      </c>
      <c r="D119" s="6" t="s">
        <v>39</v>
      </c>
      <c r="E119" s="6" t="s">
        <v>16</v>
      </c>
      <c r="F119" s="6" t="s">
        <v>28</v>
      </c>
      <c r="G119" s="6" t="s">
        <v>33</v>
      </c>
      <c r="H119" s="7">
        <v>45040.0</v>
      </c>
      <c r="I119" s="8">
        <v>83.0</v>
      </c>
      <c r="J119" s="8">
        <v>321.8</v>
      </c>
      <c r="K119" s="8">
        <v>261.38</v>
      </c>
      <c r="L119" s="27">
        <f t="shared" si="1"/>
        <v>26709.4</v>
      </c>
    </row>
    <row r="120">
      <c r="B120" s="6" t="s">
        <v>156</v>
      </c>
      <c r="C120" s="6" t="s">
        <v>14</v>
      </c>
      <c r="D120" s="6" t="s">
        <v>31</v>
      </c>
      <c r="E120" s="6" t="s">
        <v>16</v>
      </c>
      <c r="F120" s="6" t="s">
        <v>17</v>
      </c>
      <c r="G120" s="6" t="s">
        <v>23</v>
      </c>
      <c r="H120" s="7">
        <v>45041.0</v>
      </c>
      <c r="I120" s="8">
        <v>242.0</v>
      </c>
      <c r="J120" s="8">
        <v>116.23</v>
      </c>
      <c r="K120" s="8">
        <v>324.65</v>
      </c>
      <c r="L120" s="27">
        <f t="shared" si="1"/>
        <v>28127.66</v>
      </c>
    </row>
    <row r="121">
      <c r="B121" s="6" t="s">
        <v>157</v>
      </c>
      <c r="C121" s="6" t="s">
        <v>20</v>
      </c>
      <c r="D121" s="6" t="s">
        <v>21</v>
      </c>
      <c r="E121" s="6" t="s">
        <v>32</v>
      </c>
      <c r="F121" s="6" t="s">
        <v>28</v>
      </c>
      <c r="G121" s="6" t="s">
        <v>23</v>
      </c>
      <c r="H121" s="7">
        <v>45042.0</v>
      </c>
      <c r="I121" s="8">
        <v>233.0</v>
      </c>
      <c r="J121" s="8">
        <v>94.11</v>
      </c>
      <c r="K121" s="8">
        <v>246.4</v>
      </c>
      <c r="L121" s="27">
        <f t="shared" si="1"/>
        <v>21927.63</v>
      </c>
    </row>
    <row r="122">
      <c r="B122" s="6" t="s">
        <v>158</v>
      </c>
      <c r="C122" s="6" t="s">
        <v>26</v>
      </c>
      <c r="D122" s="6" t="s">
        <v>63</v>
      </c>
      <c r="E122" s="6" t="s">
        <v>32</v>
      </c>
      <c r="F122" s="6" t="s">
        <v>28</v>
      </c>
      <c r="G122" s="6" t="s">
        <v>23</v>
      </c>
      <c r="H122" s="7">
        <v>45043.0</v>
      </c>
      <c r="I122" s="8">
        <v>491.0</v>
      </c>
      <c r="J122" s="8">
        <v>48.84</v>
      </c>
      <c r="K122" s="8">
        <v>344.11</v>
      </c>
      <c r="L122" s="27">
        <f t="shared" si="1"/>
        <v>23980.44</v>
      </c>
    </row>
    <row r="123">
      <c r="B123" s="6" t="s">
        <v>159</v>
      </c>
      <c r="C123" s="6"/>
      <c r="D123" s="6" t="s">
        <v>15</v>
      </c>
      <c r="E123" s="6" t="s">
        <v>27</v>
      </c>
      <c r="F123" s="6" t="s">
        <v>28</v>
      </c>
      <c r="G123" s="6" t="s">
        <v>23</v>
      </c>
      <c r="H123" s="7">
        <v>45044.0</v>
      </c>
      <c r="I123" s="8">
        <v>328.0</v>
      </c>
      <c r="J123" s="8">
        <v>56.14</v>
      </c>
      <c r="K123" s="8">
        <v>158.17</v>
      </c>
      <c r="L123" s="27">
        <f t="shared" si="1"/>
        <v>18413.92</v>
      </c>
    </row>
    <row r="124">
      <c r="B124" s="6" t="s">
        <v>160</v>
      </c>
      <c r="C124" s="6" t="s">
        <v>20</v>
      </c>
      <c r="D124" s="6" t="s">
        <v>31</v>
      </c>
      <c r="E124" s="6" t="s">
        <v>55</v>
      </c>
      <c r="F124" s="6" t="s">
        <v>28</v>
      </c>
      <c r="G124" s="6" t="s">
        <v>18</v>
      </c>
      <c r="H124" s="7">
        <v>45045.0</v>
      </c>
      <c r="I124" s="8">
        <v>421.0</v>
      </c>
      <c r="J124" s="8">
        <v>294.41</v>
      </c>
      <c r="K124" s="8">
        <v>382.58</v>
      </c>
      <c r="L124" s="27">
        <f t="shared" si="1"/>
        <v>123946.61</v>
      </c>
    </row>
    <row r="125">
      <c r="B125" s="6" t="s">
        <v>161</v>
      </c>
      <c r="C125" s="6" t="s">
        <v>26</v>
      </c>
      <c r="D125" s="6" t="s">
        <v>21</v>
      </c>
      <c r="E125" s="6" t="s">
        <v>16</v>
      </c>
      <c r="F125" s="6" t="s">
        <v>28</v>
      </c>
      <c r="G125" s="6" t="s">
        <v>33</v>
      </c>
      <c r="H125" s="7">
        <v>45046.0</v>
      </c>
      <c r="I125" s="8">
        <v>69.0</v>
      </c>
      <c r="J125" s="8">
        <v>345.66</v>
      </c>
      <c r="K125" s="8">
        <v>54.99</v>
      </c>
      <c r="L125" s="27">
        <f t="shared" si="1"/>
        <v>23850.54</v>
      </c>
    </row>
    <row r="126">
      <c r="B126" s="6" t="s">
        <v>162</v>
      </c>
      <c r="C126" s="6" t="s">
        <v>20</v>
      </c>
      <c r="D126" s="6" t="s">
        <v>15</v>
      </c>
      <c r="E126" s="6" t="s">
        <v>55</v>
      </c>
      <c r="F126" s="6" t="s">
        <v>28</v>
      </c>
      <c r="G126" s="6" t="s">
        <v>23</v>
      </c>
      <c r="H126" s="7">
        <v>45047.0</v>
      </c>
      <c r="I126" s="8">
        <v>344.0</v>
      </c>
      <c r="J126" s="8">
        <v>201.7</v>
      </c>
      <c r="K126" s="8">
        <v>42.66</v>
      </c>
      <c r="L126" s="27">
        <f t="shared" si="1"/>
        <v>69384.8</v>
      </c>
    </row>
    <row r="127">
      <c r="B127" s="6" t="s">
        <v>163</v>
      </c>
      <c r="C127" s="6"/>
      <c r="D127" s="6" t="s">
        <v>63</v>
      </c>
      <c r="E127" s="6" t="s">
        <v>55</v>
      </c>
      <c r="F127" s="6" t="s">
        <v>17</v>
      </c>
      <c r="G127" s="6" t="s">
        <v>18</v>
      </c>
      <c r="H127" s="7">
        <v>45048.0</v>
      </c>
      <c r="I127" s="8">
        <v>231.0</v>
      </c>
      <c r="J127" s="8">
        <v>242.55</v>
      </c>
      <c r="K127" s="8">
        <v>264.16</v>
      </c>
      <c r="L127" s="27">
        <f t="shared" si="1"/>
        <v>56029.05</v>
      </c>
    </row>
    <row r="128">
      <c r="B128" s="6" t="s">
        <v>164</v>
      </c>
      <c r="C128" s="6" t="s">
        <v>61</v>
      </c>
      <c r="D128" s="6" t="s">
        <v>15</v>
      </c>
      <c r="E128" s="6" t="s">
        <v>27</v>
      </c>
      <c r="F128" s="6" t="s">
        <v>17</v>
      </c>
      <c r="G128" s="6" t="s">
        <v>23</v>
      </c>
      <c r="H128" s="7">
        <v>45049.0</v>
      </c>
      <c r="I128" s="8">
        <v>46.0</v>
      </c>
      <c r="J128" s="8">
        <v>344.55</v>
      </c>
      <c r="K128" s="8">
        <v>377.25</v>
      </c>
      <c r="L128" s="27">
        <f t="shared" si="1"/>
        <v>15849.3</v>
      </c>
    </row>
    <row r="129">
      <c r="B129" s="6" t="s">
        <v>165</v>
      </c>
      <c r="C129" s="6" t="s">
        <v>14</v>
      </c>
      <c r="D129" s="6" t="s">
        <v>21</v>
      </c>
      <c r="E129" s="6" t="s">
        <v>16</v>
      </c>
      <c r="F129" s="6" t="s">
        <v>28</v>
      </c>
      <c r="G129" s="6" t="s">
        <v>33</v>
      </c>
      <c r="H129" s="7">
        <v>45050.0</v>
      </c>
      <c r="I129" s="8">
        <v>486.0</v>
      </c>
      <c r="J129" s="8">
        <v>13.6</v>
      </c>
      <c r="K129" s="8">
        <v>323.94</v>
      </c>
      <c r="L129" s="27">
        <f t="shared" si="1"/>
        <v>6609.6</v>
      </c>
    </row>
    <row r="130">
      <c r="B130" s="6" t="s">
        <v>166</v>
      </c>
      <c r="C130" s="6" t="s">
        <v>26</v>
      </c>
      <c r="D130" s="6" t="s">
        <v>15</v>
      </c>
      <c r="E130" s="6" t="s">
        <v>16</v>
      </c>
      <c r="F130" s="6" t="s">
        <v>28</v>
      </c>
      <c r="G130" s="6" t="s">
        <v>18</v>
      </c>
      <c r="H130" s="7">
        <v>45051.0</v>
      </c>
      <c r="I130" s="8">
        <v>287.0</v>
      </c>
      <c r="J130" s="8">
        <v>164.95</v>
      </c>
      <c r="K130" s="8">
        <v>32.41</v>
      </c>
      <c r="L130" s="27">
        <f t="shared" si="1"/>
        <v>47340.65</v>
      </c>
    </row>
    <row r="131">
      <c r="B131" s="6" t="s">
        <v>167</v>
      </c>
      <c r="C131" s="6" t="s">
        <v>20</v>
      </c>
      <c r="D131" s="6" t="s">
        <v>39</v>
      </c>
      <c r="E131" s="6" t="s">
        <v>22</v>
      </c>
      <c r="F131" s="6" t="s">
        <v>17</v>
      </c>
      <c r="G131" s="6" t="s">
        <v>33</v>
      </c>
      <c r="H131" s="7">
        <v>45052.0</v>
      </c>
      <c r="I131" s="8">
        <v>205.0</v>
      </c>
      <c r="J131" s="8">
        <v>486.68</v>
      </c>
      <c r="K131" s="8">
        <v>113.19</v>
      </c>
      <c r="L131" s="27">
        <f t="shared" si="1"/>
        <v>99769.4</v>
      </c>
    </row>
    <row r="132">
      <c r="B132" s="6" t="s">
        <v>168</v>
      </c>
      <c r="C132" s="6" t="s">
        <v>61</v>
      </c>
      <c r="D132" s="6" t="s">
        <v>15</v>
      </c>
      <c r="E132" s="6" t="s">
        <v>55</v>
      </c>
      <c r="F132" s="6" t="s">
        <v>28</v>
      </c>
      <c r="G132" s="6" t="s">
        <v>33</v>
      </c>
      <c r="H132" s="7">
        <v>45053.0</v>
      </c>
      <c r="I132" s="8">
        <v>413.0</v>
      </c>
      <c r="J132" s="8">
        <v>292.16</v>
      </c>
      <c r="K132" s="8">
        <v>372.27</v>
      </c>
      <c r="L132" s="27">
        <f t="shared" si="1"/>
        <v>120662.08</v>
      </c>
    </row>
    <row r="133">
      <c r="B133" s="6" t="s">
        <v>169</v>
      </c>
      <c r="C133" s="6" t="s">
        <v>26</v>
      </c>
      <c r="D133" s="6" t="s">
        <v>31</v>
      </c>
      <c r="E133" s="6" t="s">
        <v>55</v>
      </c>
      <c r="F133" s="6" t="s">
        <v>28</v>
      </c>
      <c r="G133" s="6" t="s">
        <v>18</v>
      </c>
      <c r="H133" s="7">
        <v>45054.0</v>
      </c>
      <c r="I133" s="8">
        <v>361.0</v>
      </c>
      <c r="J133" s="8">
        <v>130.84</v>
      </c>
      <c r="K133" s="8">
        <v>102.72</v>
      </c>
      <c r="L133" s="27">
        <f t="shared" si="1"/>
        <v>47233.24</v>
      </c>
    </row>
    <row r="134">
      <c r="B134" s="6" t="s">
        <v>170</v>
      </c>
      <c r="C134" s="6" t="s">
        <v>20</v>
      </c>
      <c r="D134" s="6" t="s">
        <v>31</v>
      </c>
      <c r="E134" s="6" t="s">
        <v>32</v>
      </c>
      <c r="F134" s="6" t="s">
        <v>17</v>
      </c>
      <c r="G134" s="6" t="s">
        <v>18</v>
      </c>
      <c r="H134" s="7">
        <v>45055.0</v>
      </c>
      <c r="I134" s="8">
        <v>493.0</v>
      </c>
      <c r="J134" s="8">
        <v>263.26</v>
      </c>
      <c r="K134" s="8">
        <v>312.91</v>
      </c>
      <c r="L134" s="27">
        <f t="shared" si="1"/>
        <v>129787.18</v>
      </c>
    </row>
    <row r="135">
      <c r="B135" s="6" t="s">
        <v>171</v>
      </c>
      <c r="C135" s="6" t="s">
        <v>20</v>
      </c>
      <c r="D135" s="6" t="s">
        <v>39</v>
      </c>
      <c r="E135" s="6" t="s">
        <v>22</v>
      </c>
      <c r="F135" s="6" t="s">
        <v>28</v>
      </c>
      <c r="G135" s="6" t="s">
        <v>18</v>
      </c>
      <c r="H135" s="7">
        <v>45056.0</v>
      </c>
      <c r="I135" s="8">
        <v>251.0</v>
      </c>
      <c r="J135" s="8">
        <v>174.61</v>
      </c>
      <c r="K135" s="8">
        <v>330.4</v>
      </c>
      <c r="L135" s="27">
        <f t="shared" si="1"/>
        <v>43827.11</v>
      </c>
    </row>
    <row r="136">
      <c r="B136" s="6" t="s">
        <v>172</v>
      </c>
      <c r="C136" s="6" t="s">
        <v>20</v>
      </c>
      <c r="D136" s="6" t="s">
        <v>21</v>
      </c>
      <c r="E136" s="6" t="s">
        <v>32</v>
      </c>
      <c r="F136" s="6" t="s">
        <v>28</v>
      </c>
      <c r="G136" s="6" t="s">
        <v>18</v>
      </c>
      <c r="H136" s="7">
        <v>45057.0</v>
      </c>
      <c r="I136" s="6"/>
      <c r="J136" s="8">
        <v>268.46</v>
      </c>
      <c r="K136" s="8">
        <v>199.19</v>
      </c>
      <c r="L136" s="27">
        <f t="shared" si="1"/>
        <v>0</v>
      </c>
    </row>
    <row r="137">
      <c r="B137" s="6" t="s">
        <v>173</v>
      </c>
      <c r="C137" s="6" t="s">
        <v>26</v>
      </c>
      <c r="D137" s="6" t="s">
        <v>31</v>
      </c>
      <c r="E137" s="6" t="s">
        <v>32</v>
      </c>
      <c r="F137" s="6" t="s">
        <v>28</v>
      </c>
      <c r="G137" s="6" t="s">
        <v>18</v>
      </c>
      <c r="H137" s="7">
        <v>45058.0</v>
      </c>
      <c r="I137" s="8">
        <v>228.0</v>
      </c>
      <c r="J137" s="8">
        <v>67.24</v>
      </c>
      <c r="K137" s="8">
        <v>155.77</v>
      </c>
      <c r="L137" s="27">
        <f t="shared" si="1"/>
        <v>15330.72</v>
      </c>
    </row>
    <row r="138">
      <c r="B138" s="6" t="s">
        <v>174</v>
      </c>
      <c r="C138" s="6" t="s">
        <v>26</v>
      </c>
      <c r="D138" s="6" t="s">
        <v>63</v>
      </c>
      <c r="E138" s="6" t="s">
        <v>32</v>
      </c>
      <c r="F138" s="6" t="s">
        <v>17</v>
      </c>
      <c r="G138" s="6" t="s">
        <v>18</v>
      </c>
      <c r="H138" s="7">
        <v>45059.0</v>
      </c>
      <c r="I138" s="8">
        <v>201.0</v>
      </c>
      <c r="J138" s="8">
        <v>70.69</v>
      </c>
      <c r="K138" s="8">
        <v>181.15</v>
      </c>
      <c r="L138" s="27">
        <f t="shared" si="1"/>
        <v>14208.69</v>
      </c>
    </row>
    <row r="139">
      <c r="B139" s="6" t="s">
        <v>175</v>
      </c>
      <c r="C139" s="6" t="s">
        <v>26</v>
      </c>
      <c r="D139" s="6" t="s">
        <v>31</v>
      </c>
      <c r="E139" s="6" t="s">
        <v>27</v>
      </c>
      <c r="F139" s="6" t="s">
        <v>17</v>
      </c>
      <c r="G139" s="6" t="s">
        <v>18</v>
      </c>
      <c r="H139" s="7">
        <v>45060.0</v>
      </c>
      <c r="I139" s="8">
        <v>26.0</v>
      </c>
      <c r="J139" s="8">
        <v>76.05</v>
      </c>
      <c r="K139" s="8">
        <v>92.33</v>
      </c>
      <c r="L139" s="27">
        <f t="shared" si="1"/>
        <v>1977.3</v>
      </c>
    </row>
    <row r="140">
      <c r="B140" s="6" t="s">
        <v>176</v>
      </c>
      <c r="C140" s="6" t="s">
        <v>14</v>
      </c>
      <c r="D140" s="6" t="s">
        <v>31</v>
      </c>
      <c r="E140" s="6" t="s">
        <v>27</v>
      </c>
      <c r="F140" s="6" t="s">
        <v>17</v>
      </c>
      <c r="G140" s="6" t="s">
        <v>23</v>
      </c>
      <c r="H140" s="7">
        <v>45061.0</v>
      </c>
      <c r="I140" s="8">
        <v>21.0</v>
      </c>
      <c r="J140" s="8">
        <v>470.21</v>
      </c>
      <c r="K140" s="8">
        <v>355.98</v>
      </c>
      <c r="L140" s="27">
        <f t="shared" si="1"/>
        <v>9874.41</v>
      </c>
    </row>
    <row r="141">
      <c r="B141" s="6" t="s">
        <v>177</v>
      </c>
      <c r="C141" s="6" t="s">
        <v>26</v>
      </c>
      <c r="D141" s="6" t="s">
        <v>21</v>
      </c>
      <c r="E141" s="6" t="s">
        <v>32</v>
      </c>
      <c r="F141" s="6" t="s">
        <v>28</v>
      </c>
      <c r="G141" s="6" t="s">
        <v>33</v>
      </c>
      <c r="H141" s="7">
        <v>45062.0</v>
      </c>
      <c r="I141" s="8">
        <v>415.0</v>
      </c>
      <c r="J141" s="8">
        <v>367.78</v>
      </c>
      <c r="K141" s="8">
        <v>181.35</v>
      </c>
      <c r="L141" s="27">
        <f t="shared" si="1"/>
        <v>152628.7</v>
      </c>
    </row>
    <row r="142">
      <c r="B142" s="6" t="s">
        <v>178</v>
      </c>
      <c r="C142" s="6" t="s">
        <v>26</v>
      </c>
      <c r="D142" s="6" t="s">
        <v>15</v>
      </c>
      <c r="E142" s="6" t="s">
        <v>22</v>
      </c>
      <c r="F142" s="6" t="s">
        <v>28</v>
      </c>
      <c r="G142" s="6" t="s">
        <v>18</v>
      </c>
      <c r="H142" s="7">
        <v>45063.0</v>
      </c>
      <c r="I142" s="8">
        <v>410.0</v>
      </c>
      <c r="J142" s="8">
        <v>85.38</v>
      </c>
      <c r="K142" s="8">
        <v>353.22</v>
      </c>
      <c r="L142" s="27">
        <f t="shared" si="1"/>
        <v>35005.8</v>
      </c>
    </row>
    <row r="143">
      <c r="B143" s="6" t="s">
        <v>179</v>
      </c>
      <c r="C143" s="6" t="s">
        <v>26</v>
      </c>
      <c r="D143" s="6" t="s">
        <v>31</v>
      </c>
      <c r="E143" s="6" t="s">
        <v>55</v>
      </c>
      <c r="F143" s="6" t="s">
        <v>17</v>
      </c>
      <c r="G143" s="6" t="s">
        <v>23</v>
      </c>
      <c r="H143" s="7">
        <v>45064.0</v>
      </c>
      <c r="I143" s="8">
        <v>403.0</v>
      </c>
      <c r="J143" s="8">
        <v>98.23</v>
      </c>
      <c r="K143" s="8">
        <v>44.07</v>
      </c>
      <c r="L143" s="27">
        <f t="shared" si="1"/>
        <v>39586.69</v>
      </c>
    </row>
    <row r="144">
      <c r="B144" s="6" t="s">
        <v>180</v>
      </c>
      <c r="C144" s="6" t="s">
        <v>14</v>
      </c>
      <c r="D144" s="6" t="s">
        <v>39</v>
      </c>
      <c r="E144" s="6" t="s">
        <v>22</v>
      </c>
      <c r="F144" s="6" t="s">
        <v>28</v>
      </c>
      <c r="G144" s="6" t="s">
        <v>23</v>
      </c>
      <c r="H144" s="7">
        <v>45065.0</v>
      </c>
      <c r="I144" s="8">
        <v>383.0</v>
      </c>
      <c r="J144" s="8">
        <v>366.76</v>
      </c>
      <c r="K144" s="8">
        <v>395.33</v>
      </c>
      <c r="L144" s="27">
        <f t="shared" si="1"/>
        <v>140469.08</v>
      </c>
    </row>
    <row r="145">
      <c r="B145" s="6" t="s">
        <v>181</v>
      </c>
      <c r="C145" s="6" t="s">
        <v>26</v>
      </c>
      <c r="D145" s="6" t="s">
        <v>15</v>
      </c>
      <c r="E145" s="6" t="s">
        <v>16</v>
      </c>
      <c r="F145" s="6" t="s">
        <v>28</v>
      </c>
      <c r="G145" s="6" t="s">
        <v>23</v>
      </c>
      <c r="H145" s="7">
        <v>45066.0</v>
      </c>
      <c r="I145" s="8">
        <v>202.0</v>
      </c>
      <c r="J145" s="8">
        <v>82.3</v>
      </c>
      <c r="K145" s="8">
        <v>178.42</v>
      </c>
      <c r="L145" s="27">
        <f t="shared" si="1"/>
        <v>16624.6</v>
      </c>
    </row>
    <row r="146">
      <c r="B146" s="6" t="s">
        <v>182</v>
      </c>
      <c r="C146" s="6" t="s">
        <v>20</v>
      </c>
      <c r="D146" s="6" t="s">
        <v>63</v>
      </c>
      <c r="E146" s="6" t="s">
        <v>27</v>
      </c>
      <c r="F146" s="6" t="s">
        <v>28</v>
      </c>
      <c r="G146" s="6" t="s">
        <v>33</v>
      </c>
      <c r="H146" s="7">
        <v>45067.0</v>
      </c>
      <c r="I146" s="8">
        <v>31.0</v>
      </c>
      <c r="J146" s="8">
        <v>121.11</v>
      </c>
      <c r="K146" s="8">
        <v>21.04</v>
      </c>
      <c r="L146" s="27">
        <f t="shared" si="1"/>
        <v>3754.41</v>
      </c>
    </row>
    <row r="147">
      <c r="B147" s="6" t="s">
        <v>183</v>
      </c>
      <c r="C147" s="6" t="s">
        <v>26</v>
      </c>
      <c r="D147" s="6" t="s">
        <v>21</v>
      </c>
      <c r="E147" s="6" t="s">
        <v>55</v>
      </c>
      <c r="F147" s="6" t="s">
        <v>28</v>
      </c>
      <c r="G147" s="6" t="s">
        <v>18</v>
      </c>
      <c r="H147" s="7">
        <v>45068.0</v>
      </c>
      <c r="I147" s="8">
        <v>483.0</v>
      </c>
      <c r="J147" s="8">
        <v>481.86</v>
      </c>
      <c r="K147" s="8">
        <v>17.13</v>
      </c>
      <c r="L147" s="27">
        <f t="shared" si="1"/>
        <v>232738.38</v>
      </c>
    </row>
    <row r="148">
      <c r="B148" s="6" t="s">
        <v>184</v>
      </c>
      <c r="C148" s="6" t="s">
        <v>20</v>
      </c>
      <c r="D148" s="6" t="s">
        <v>63</v>
      </c>
      <c r="E148" s="6" t="s">
        <v>55</v>
      </c>
      <c r="F148" s="6" t="s">
        <v>28</v>
      </c>
      <c r="G148" s="6" t="s">
        <v>23</v>
      </c>
      <c r="H148" s="7">
        <v>45069.0</v>
      </c>
      <c r="I148" s="8">
        <v>129.0</v>
      </c>
      <c r="J148" s="8">
        <v>131.38</v>
      </c>
      <c r="K148" s="8">
        <v>298.99</v>
      </c>
      <c r="L148" s="27">
        <f t="shared" si="1"/>
        <v>16948.02</v>
      </c>
    </row>
    <row r="149">
      <c r="B149" s="6" t="s">
        <v>185</v>
      </c>
      <c r="C149" s="6" t="s">
        <v>20</v>
      </c>
      <c r="D149" s="6" t="s">
        <v>15</v>
      </c>
      <c r="E149" s="6" t="s">
        <v>16</v>
      </c>
      <c r="F149" s="6" t="s">
        <v>17</v>
      </c>
      <c r="G149" s="6" t="s">
        <v>33</v>
      </c>
      <c r="H149" s="7">
        <v>45070.0</v>
      </c>
      <c r="I149" s="8">
        <v>219.0</v>
      </c>
      <c r="J149" s="8">
        <v>332.51</v>
      </c>
      <c r="K149" s="8">
        <v>264.3</v>
      </c>
      <c r="L149" s="27">
        <f t="shared" si="1"/>
        <v>72819.69</v>
      </c>
    </row>
    <row r="150">
      <c r="B150" s="6" t="s">
        <v>186</v>
      </c>
      <c r="C150" s="6" t="s">
        <v>20</v>
      </c>
      <c r="D150" s="6" t="s">
        <v>15</v>
      </c>
      <c r="E150" s="6" t="s">
        <v>16</v>
      </c>
      <c r="F150" s="6" t="s">
        <v>28</v>
      </c>
      <c r="G150" s="6" t="s">
        <v>33</v>
      </c>
      <c r="H150" s="7">
        <v>45071.0</v>
      </c>
      <c r="I150" s="8">
        <v>315.0</v>
      </c>
      <c r="J150" s="8">
        <v>489.42</v>
      </c>
      <c r="K150" s="8">
        <v>321.25</v>
      </c>
      <c r="L150" s="27">
        <f t="shared" si="1"/>
        <v>154167.3</v>
      </c>
    </row>
    <row r="151">
      <c r="B151" s="6" t="s">
        <v>187</v>
      </c>
      <c r="C151" s="6" t="s">
        <v>14</v>
      </c>
      <c r="D151" s="6" t="s">
        <v>15</v>
      </c>
      <c r="E151" s="6" t="s">
        <v>32</v>
      </c>
      <c r="F151" s="6" t="s">
        <v>17</v>
      </c>
      <c r="G151" s="6" t="s">
        <v>33</v>
      </c>
      <c r="H151" s="7">
        <v>45072.0</v>
      </c>
      <c r="I151" s="8">
        <v>279.0</v>
      </c>
      <c r="J151" s="8">
        <v>190.28</v>
      </c>
      <c r="K151" s="8">
        <v>43.94</v>
      </c>
      <c r="L151" s="27">
        <f t="shared" si="1"/>
        <v>53088.12</v>
      </c>
    </row>
    <row r="152">
      <c r="B152" s="6" t="s">
        <v>188</v>
      </c>
      <c r="C152" s="6" t="s">
        <v>14</v>
      </c>
      <c r="D152" s="6" t="s">
        <v>63</v>
      </c>
      <c r="E152" s="6" t="s">
        <v>27</v>
      </c>
      <c r="F152" s="6" t="s">
        <v>28</v>
      </c>
      <c r="G152" s="6" t="s">
        <v>23</v>
      </c>
      <c r="H152" s="7">
        <v>45073.0</v>
      </c>
      <c r="I152" s="8">
        <v>201.0</v>
      </c>
      <c r="J152" s="8">
        <v>13.67</v>
      </c>
      <c r="K152" s="8">
        <v>16.16</v>
      </c>
      <c r="L152" s="27">
        <f t="shared" si="1"/>
        <v>2747.67</v>
      </c>
    </row>
    <row r="153">
      <c r="B153" s="6" t="s">
        <v>189</v>
      </c>
      <c r="C153" s="6" t="s">
        <v>14</v>
      </c>
      <c r="D153" s="6" t="s">
        <v>15</v>
      </c>
      <c r="E153" s="6" t="s">
        <v>27</v>
      </c>
      <c r="F153" s="6" t="s">
        <v>17</v>
      </c>
      <c r="G153" s="6" t="s">
        <v>18</v>
      </c>
      <c r="H153" s="7">
        <v>45074.0</v>
      </c>
      <c r="I153" s="8">
        <v>184.0</v>
      </c>
      <c r="J153" s="8">
        <v>125.85</v>
      </c>
      <c r="K153" s="8">
        <v>204.41</v>
      </c>
      <c r="L153" s="27">
        <f t="shared" si="1"/>
        <v>23156.4</v>
      </c>
    </row>
    <row r="154">
      <c r="B154" s="6" t="s">
        <v>190</v>
      </c>
      <c r="C154" s="6" t="s">
        <v>26</v>
      </c>
      <c r="D154" s="6" t="s">
        <v>63</v>
      </c>
      <c r="E154" s="6" t="s">
        <v>22</v>
      </c>
      <c r="F154" s="6" t="s">
        <v>28</v>
      </c>
      <c r="G154" s="6" t="s">
        <v>23</v>
      </c>
      <c r="H154" s="7">
        <v>45075.0</v>
      </c>
      <c r="I154" s="8">
        <v>294.0</v>
      </c>
      <c r="J154" s="8">
        <v>416.28</v>
      </c>
      <c r="K154" s="8">
        <v>156.26</v>
      </c>
      <c r="L154" s="27">
        <f t="shared" si="1"/>
        <v>122386.32</v>
      </c>
    </row>
    <row r="155">
      <c r="B155" s="6" t="s">
        <v>191</v>
      </c>
      <c r="C155" s="6" t="s">
        <v>20</v>
      </c>
      <c r="D155" s="6" t="s">
        <v>15</v>
      </c>
      <c r="E155" s="6" t="s">
        <v>32</v>
      </c>
      <c r="F155" s="6" t="s">
        <v>17</v>
      </c>
      <c r="G155" s="6" t="s">
        <v>23</v>
      </c>
      <c r="H155" s="7">
        <v>45076.0</v>
      </c>
      <c r="I155" s="8">
        <v>213.0</v>
      </c>
      <c r="J155" s="8">
        <v>432.98</v>
      </c>
      <c r="K155" s="8">
        <v>185.85</v>
      </c>
      <c r="L155" s="27">
        <f t="shared" si="1"/>
        <v>92224.74</v>
      </c>
    </row>
    <row r="156">
      <c r="B156" s="6" t="s">
        <v>192</v>
      </c>
      <c r="C156" s="6" t="s">
        <v>14</v>
      </c>
      <c r="D156" s="6" t="s">
        <v>39</v>
      </c>
      <c r="E156" s="6" t="s">
        <v>32</v>
      </c>
      <c r="F156" s="6" t="s">
        <v>28</v>
      </c>
      <c r="G156" s="6" t="s">
        <v>18</v>
      </c>
      <c r="H156" s="7">
        <v>45077.0</v>
      </c>
      <c r="I156" s="8">
        <v>173.0</v>
      </c>
      <c r="J156" s="8">
        <v>385.42</v>
      </c>
      <c r="K156" s="8">
        <v>396.65</v>
      </c>
      <c r="L156" s="27">
        <f t="shared" si="1"/>
        <v>66677.66</v>
      </c>
    </row>
    <row r="157">
      <c r="B157" s="6" t="s">
        <v>193</v>
      </c>
      <c r="C157" s="6" t="s">
        <v>14</v>
      </c>
      <c r="D157" s="6" t="s">
        <v>15</v>
      </c>
      <c r="E157" s="6" t="s">
        <v>32</v>
      </c>
      <c r="F157" s="6" t="s">
        <v>17</v>
      </c>
      <c r="G157" s="6" t="s">
        <v>18</v>
      </c>
      <c r="H157" s="7">
        <v>45078.0</v>
      </c>
      <c r="I157" s="8">
        <v>260.0</v>
      </c>
      <c r="J157" s="8">
        <v>60.99</v>
      </c>
      <c r="K157" s="8">
        <v>388.36</v>
      </c>
      <c r="L157" s="27">
        <f t="shared" si="1"/>
        <v>15857.4</v>
      </c>
    </row>
    <row r="158">
      <c r="B158" s="6" t="s">
        <v>194</v>
      </c>
      <c r="C158" s="6" t="s">
        <v>26</v>
      </c>
      <c r="D158" s="6" t="s">
        <v>63</v>
      </c>
      <c r="E158" s="6" t="s">
        <v>32</v>
      </c>
      <c r="F158" s="6" t="s">
        <v>28</v>
      </c>
      <c r="G158" s="6" t="s">
        <v>18</v>
      </c>
      <c r="H158" s="7">
        <v>45079.0</v>
      </c>
      <c r="I158" s="8">
        <v>236.0</v>
      </c>
      <c r="J158" s="8">
        <v>398.78</v>
      </c>
      <c r="K158" s="8">
        <v>377.04</v>
      </c>
      <c r="L158" s="27">
        <f t="shared" si="1"/>
        <v>94112.08</v>
      </c>
    </row>
    <row r="159">
      <c r="B159" s="6" t="s">
        <v>195</v>
      </c>
      <c r="C159" s="6" t="s">
        <v>14</v>
      </c>
      <c r="D159" s="6" t="s">
        <v>31</v>
      </c>
      <c r="E159" s="6" t="s">
        <v>27</v>
      </c>
      <c r="F159" s="6" t="s">
        <v>17</v>
      </c>
      <c r="G159" s="6" t="s">
        <v>33</v>
      </c>
      <c r="H159" s="7">
        <v>45080.0</v>
      </c>
      <c r="I159" s="8">
        <v>445.0</v>
      </c>
      <c r="J159" s="8">
        <v>459.75</v>
      </c>
      <c r="K159" s="8">
        <v>313.97</v>
      </c>
      <c r="L159" s="27">
        <f t="shared" si="1"/>
        <v>204588.75</v>
      </c>
    </row>
    <row r="160">
      <c r="B160" s="6" t="s">
        <v>196</v>
      </c>
      <c r="C160" s="6" t="s">
        <v>26</v>
      </c>
      <c r="D160" s="6" t="s">
        <v>15</v>
      </c>
      <c r="E160" s="6" t="s">
        <v>27</v>
      </c>
      <c r="F160" s="6" t="s">
        <v>28</v>
      </c>
      <c r="G160" s="6" t="s">
        <v>18</v>
      </c>
      <c r="H160" s="7">
        <v>45081.0</v>
      </c>
      <c r="I160" s="8">
        <v>390.0</v>
      </c>
      <c r="J160" s="8">
        <v>302.3</v>
      </c>
      <c r="K160" s="8">
        <v>143.23</v>
      </c>
      <c r="L160" s="27">
        <f t="shared" si="1"/>
        <v>117897</v>
      </c>
    </row>
    <row r="161">
      <c r="B161" s="6" t="s">
        <v>197</v>
      </c>
      <c r="C161" s="6" t="s">
        <v>61</v>
      </c>
      <c r="D161" s="6" t="s">
        <v>31</v>
      </c>
      <c r="E161" s="6" t="s">
        <v>32</v>
      </c>
      <c r="F161" s="6" t="s">
        <v>17</v>
      </c>
      <c r="G161" s="6" t="s">
        <v>23</v>
      </c>
      <c r="H161" s="7">
        <v>45082.0</v>
      </c>
      <c r="I161" s="8">
        <v>469.0</v>
      </c>
      <c r="J161" s="8">
        <v>470.73</v>
      </c>
      <c r="K161" s="8">
        <v>166.03</v>
      </c>
      <c r="L161" s="27">
        <f t="shared" si="1"/>
        <v>220772.37</v>
      </c>
    </row>
    <row r="162">
      <c r="B162" s="6" t="s">
        <v>198</v>
      </c>
      <c r="C162" s="6" t="s">
        <v>14</v>
      </c>
      <c r="D162" s="6" t="s">
        <v>39</v>
      </c>
      <c r="E162" s="6" t="s">
        <v>22</v>
      </c>
      <c r="F162" s="6" t="s">
        <v>17</v>
      </c>
      <c r="G162" s="6" t="s">
        <v>18</v>
      </c>
      <c r="H162" s="7">
        <v>45083.0</v>
      </c>
      <c r="I162" s="8">
        <v>16.0</v>
      </c>
      <c r="J162" s="6"/>
      <c r="K162" s="8">
        <v>220.75</v>
      </c>
      <c r="L162" s="27">
        <f t="shared" si="1"/>
        <v>0</v>
      </c>
    </row>
    <row r="163">
      <c r="B163" s="6" t="s">
        <v>199</v>
      </c>
      <c r="C163" s="6" t="s">
        <v>61</v>
      </c>
      <c r="D163" s="6" t="s">
        <v>21</v>
      </c>
      <c r="E163" s="6" t="s">
        <v>55</v>
      </c>
      <c r="F163" s="6" t="s">
        <v>28</v>
      </c>
      <c r="G163" s="6" t="s">
        <v>23</v>
      </c>
      <c r="H163" s="7">
        <v>45084.0</v>
      </c>
      <c r="I163" s="8">
        <v>38.0</v>
      </c>
      <c r="J163" s="8">
        <v>335.15</v>
      </c>
      <c r="K163" s="8">
        <v>332.55</v>
      </c>
      <c r="L163" s="27">
        <f t="shared" si="1"/>
        <v>12735.7</v>
      </c>
    </row>
    <row r="164">
      <c r="B164" s="6" t="s">
        <v>200</v>
      </c>
      <c r="C164" s="6" t="s">
        <v>26</v>
      </c>
      <c r="D164" s="6" t="s">
        <v>39</v>
      </c>
      <c r="E164" s="6"/>
      <c r="F164" s="6" t="s">
        <v>28</v>
      </c>
      <c r="G164" s="6" t="s">
        <v>33</v>
      </c>
      <c r="H164" s="7">
        <v>45085.0</v>
      </c>
      <c r="I164" s="8">
        <v>404.0</v>
      </c>
      <c r="J164" s="8">
        <v>290.71</v>
      </c>
      <c r="K164" s="8">
        <v>29.35</v>
      </c>
      <c r="L164" s="27">
        <f t="shared" si="1"/>
        <v>117446.84</v>
      </c>
    </row>
    <row r="165">
      <c r="B165" s="6" t="s">
        <v>201</v>
      </c>
      <c r="C165" s="6" t="s">
        <v>20</v>
      </c>
      <c r="D165" s="6" t="s">
        <v>15</v>
      </c>
      <c r="E165" s="6" t="s">
        <v>22</v>
      </c>
      <c r="F165" s="6" t="s">
        <v>17</v>
      </c>
      <c r="G165" s="6" t="s">
        <v>23</v>
      </c>
      <c r="H165" s="7">
        <v>45086.0</v>
      </c>
      <c r="I165" s="8">
        <v>42.0</v>
      </c>
      <c r="J165" s="8">
        <v>177.54</v>
      </c>
      <c r="K165" s="8">
        <v>170.87</v>
      </c>
      <c r="L165" s="27">
        <f t="shared" si="1"/>
        <v>7456.68</v>
      </c>
    </row>
    <row r="166">
      <c r="B166" s="6" t="s">
        <v>202</v>
      </c>
      <c r="C166" s="6" t="s">
        <v>14</v>
      </c>
      <c r="D166" s="6" t="s">
        <v>31</v>
      </c>
      <c r="E166" s="6" t="s">
        <v>32</v>
      </c>
      <c r="F166" s="6" t="s">
        <v>28</v>
      </c>
      <c r="G166" s="6" t="s">
        <v>23</v>
      </c>
      <c r="H166" s="7">
        <v>45087.0</v>
      </c>
      <c r="I166" s="8">
        <v>143.0</v>
      </c>
      <c r="J166" s="8">
        <v>83.85</v>
      </c>
      <c r="K166" s="8">
        <v>34.88</v>
      </c>
      <c r="L166" s="27">
        <f t="shared" si="1"/>
        <v>11990.55</v>
      </c>
    </row>
    <row r="167">
      <c r="B167" s="6" t="s">
        <v>203</v>
      </c>
      <c r="C167" s="6" t="s">
        <v>26</v>
      </c>
      <c r="D167" s="6" t="s">
        <v>31</v>
      </c>
      <c r="E167" s="6" t="s">
        <v>27</v>
      </c>
      <c r="F167" s="6" t="s">
        <v>17</v>
      </c>
      <c r="G167" s="6" t="s">
        <v>18</v>
      </c>
      <c r="H167" s="7">
        <v>45088.0</v>
      </c>
      <c r="I167" s="8">
        <v>376.0</v>
      </c>
      <c r="J167" s="8">
        <v>304.45</v>
      </c>
      <c r="K167" s="8">
        <v>206.83</v>
      </c>
      <c r="L167" s="27">
        <f t="shared" si="1"/>
        <v>114473.2</v>
      </c>
    </row>
    <row r="168">
      <c r="B168" s="6" t="s">
        <v>204</v>
      </c>
      <c r="C168" s="6" t="s">
        <v>20</v>
      </c>
      <c r="D168" s="6" t="s">
        <v>63</v>
      </c>
      <c r="E168" s="6" t="s">
        <v>55</v>
      </c>
      <c r="F168" s="6" t="s">
        <v>17</v>
      </c>
      <c r="G168" s="6" t="s">
        <v>18</v>
      </c>
      <c r="H168" s="7">
        <v>45089.0</v>
      </c>
      <c r="I168" s="8">
        <v>88.0</v>
      </c>
      <c r="J168" s="8">
        <v>162.47</v>
      </c>
      <c r="K168" s="8">
        <v>359.76</v>
      </c>
      <c r="L168" s="27">
        <f t="shared" si="1"/>
        <v>14297.36</v>
      </c>
    </row>
    <row r="169">
      <c r="B169" s="6" t="s">
        <v>205</v>
      </c>
      <c r="C169" s="6" t="s">
        <v>20</v>
      </c>
      <c r="D169" s="6" t="s">
        <v>31</v>
      </c>
      <c r="E169" s="6" t="s">
        <v>16</v>
      </c>
      <c r="F169" s="6" t="s">
        <v>17</v>
      </c>
      <c r="G169" s="6" t="s">
        <v>23</v>
      </c>
      <c r="H169" s="7">
        <v>45090.0</v>
      </c>
      <c r="I169" s="8">
        <v>425.0</v>
      </c>
      <c r="J169" s="8">
        <v>433.89</v>
      </c>
      <c r="K169" s="8">
        <v>313.43</v>
      </c>
      <c r="L169" s="27">
        <f t="shared" si="1"/>
        <v>184403.25</v>
      </c>
    </row>
    <row r="170">
      <c r="B170" s="6" t="s">
        <v>206</v>
      </c>
      <c r="C170" s="6" t="s">
        <v>61</v>
      </c>
      <c r="D170" s="6" t="s">
        <v>63</v>
      </c>
      <c r="E170" s="6" t="s">
        <v>16</v>
      </c>
      <c r="F170" s="6" t="s">
        <v>28</v>
      </c>
      <c r="G170" s="6" t="s">
        <v>18</v>
      </c>
      <c r="H170" s="7">
        <v>45091.0</v>
      </c>
      <c r="I170" s="8">
        <v>444.0</v>
      </c>
      <c r="J170" s="8">
        <v>496.7</v>
      </c>
      <c r="K170" s="8">
        <v>92.68</v>
      </c>
      <c r="L170" s="27">
        <f t="shared" si="1"/>
        <v>220534.8</v>
      </c>
    </row>
    <row r="171">
      <c r="B171" s="6" t="s">
        <v>207</v>
      </c>
      <c r="C171" s="6" t="s">
        <v>26</v>
      </c>
      <c r="D171" s="6" t="s">
        <v>21</v>
      </c>
      <c r="E171" s="6" t="s">
        <v>22</v>
      </c>
      <c r="F171" s="6" t="s">
        <v>17</v>
      </c>
      <c r="G171" s="6" t="s">
        <v>33</v>
      </c>
      <c r="H171" s="7">
        <v>45092.0</v>
      </c>
      <c r="I171" s="8">
        <v>468.0</v>
      </c>
      <c r="J171" s="8">
        <v>377.45</v>
      </c>
      <c r="K171" s="8">
        <v>390.44</v>
      </c>
      <c r="L171" s="27">
        <f t="shared" si="1"/>
        <v>176646.6</v>
      </c>
    </row>
    <row r="172">
      <c r="B172" s="6" t="s">
        <v>208</v>
      </c>
      <c r="C172" s="6" t="s">
        <v>20</v>
      </c>
      <c r="D172" s="6" t="s">
        <v>15</v>
      </c>
      <c r="E172" s="6" t="s">
        <v>32</v>
      </c>
      <c r="F172" s="6" t="s">
        <v>17</v>
      </c>
      <c r="G172" s="6" t="s">
        <v>33</v>
      </c>
      <c r="H172" s="7">
        <v>45093.0</v>
      </c>
      <c r="I172" s="8">
        <v>67.0</v>
      </c>
      <c r="J172" s="8">
        <v>49.79</v>
      </c>
      <c r="K172" s="8">
        <v>267.61</v>
      </c>
      <c r="L172" s="27">
        <f t="shared" si="1"/>
        <v>3335.93</v>
      </c>
    </row>
    <row r="173">
      <c r="B173" s="6" t="s">
        <v>209</v>
      </c>
      <c r="C173" s="6" t="s">
        <v>14</v>
      </c>
      <c r="D173" s="6" t="s">
        <v>63</v>
      </c>
      <c r="E173" s="6" t="s">
        <v>55</v>
      </c>
      <c r="F173" s="6" t="s">
        <v>28</v>
      </c>
      <c r="G173" s="6" t="s">
        <v>18</v>
      </c>
      <c r="H173" s="7">
        <v>45094.0</v>
      </c>
      <c r="I173" s="8">
        <v>480.0</v>
      </c>
      <c r="J173" s="8">
        <v>147.9</v>
      </c>
      <c r="K173" s="8">
        <v>6.15</v>
      </c>
      <c r="L173" s="27">
        <f t="shared" si="1"/>
        <v>70992</v>
      </c>
    </row>
    <row r="174">
      <c r="B174" s="6" t="s">
        <v>210</v>
      </c>
      <c r="C174" s="6" t="s">
        <v>14</v>
      </c>
      <c r="D174" s="6" t="s">
        <v>21</v>
      </c>
      <c r="E174" s="6" t="s">
        <v>32</v>
      </c>
      <c r="F174" s="6" t="s">
        <v>28</v>
      </c>
      <c r="G174" s="6" t="s">
        <v>33</v>
      </c>
      <c r="H174" s="7">
        <v>45095.0</v>
      </c>
      <c r="I174" s="8">
        <v>35.0</v>
      </c>
      <c r="J174" s="8">
        <v>59.01</v>
      </c>
      <c r="K174" s="8">
        <v>103.65</v>
      </c>
      <c r="L174" s="27">
        <f t="shared" si="1"/>
        <v>2065.35</v>
      </c>
    </row>
    <row r="175">
      <c r="B175" s="6" t="s">
        <v>211</v>
      </c>
      <c r="C175" s="6" t="s">
        <v>61</v>
      </c>
      <c r="D175" s="6" t="s">
        <v>31</v>
      </c>
      <c r="E175" s="6" t="s">
        <v>55</v>
      </c>
      <c r="F175" s="6" t="s">
        <v>28</v>
      </c>
      <c r="G175" s="6" t="s">
        <v>18</v>
      </c>
      <c r="H175" s="7">
        <v>45096.0</v>
      </c>
      <c r="I175" s="8">
        <v>491.0</v>
      </c>
      <c r="J175" s="8">
        <v>327.0</v>
      </c>
      <c r="K175" s="8">
        <v>105.76</v>
      </c>
      <c r="L175" s="27">
        <f t="shared" si="1"/>
        <v>160557</v>
      </c>
    </row>
    <row r="176">
      <c r="B176" s="6" t="s">
        <v>212</v>
      </c>
      <c r="C176" s="6" t="s">
        <v>20</v>
      </c>
      <c r="D176" s="6" t="s">
        <v>31</v>
      </c>
      <c r="E176" s="6" t="s">
        <v>22</v>
      </c>
      <c r="F176" s="6" t="s">
        <v>28</v>
      </c>
      <c r="G176" s="6" t="s">
        <v>23</v>
      </c>
      <c r="H176" s="7">
        <v>45097.0</v>
      </c>
      <c r="I176" s="8">
        <v>439.0</v>
      </c>
      <c r="J176" s="8">
        <v>383.77</v>
      </c>
      <c r="K176" s="8">
        <v>29.56</v>
      </c>
      <c r="L176" s="27">
        <f t="shared" si="1"/>
        <v>168475.03</v>
      </c>
    </row>
    <row r="177">
      <c r="B177" s="6" t="s">
        <v>213</v>
      </c>
      <c r="C177" s="6" t="s">
        <v>26</v>
      </c>
      <c r="D177" s="6" t="s">
        <v>21</v>
      </c>
      <c r="E177" s="6" t="s">
        <v>22</v>
      </c>
      <c r="F177" s="6" t="s">
        <v>17</v>
      </c>
      <c r="G177" s="6" t="s">
        <v>23</v>
      </c>
      <c r="H177" s="7">
        <v>45098.0</v>
      </c>
      <c r="I177" s="8">
        <v>235.0</v>
      </c>
      <c r="J177" s="8">
        <v>463.21</v>
      </c>
      <c r="K177" s="8">
        <v>384.01</v>
      </c>
      <c r="L177" s="27">
        <f t="shared" si="1"/>
        <v>108854.35</v>
      </c>
    </row>
    <row r="178">
      <c r="B178" s="6" t="s">
        <v>214</v>
      </c>
      <c r="C178" s="6" t="s">
        <v>14</v>
      </c>
      <c r="D178" s="6" t="s">
        <v>31</v>
      </c>
      <c r="E178" s="6" t="s">
        <v>16</v>
      </c>
      <c r="F178" s="6" t="s">
        <v>17</v>
      </c>
      <c r="G178" s="6" t="s">
        <v>33</v>
      </c>
      <c r="H178" s="7">
        <v>45099.0</v>
      </c>
      <c r="I178" s="8">
        <v>294.0</v>
      </c>
      <c r="J178" s="8">
        <v>221.9</v>
      </c>
      <c r="K178" s="8">
        <v>192.35</v>
      </c>
      <c r="L178" s="27">
        <f t="shared" si="1"/>
        <v>65238.6</v>
      </c>
    </row>
    <row r="179">
      <c r="B179" s="6" t="s">
        <v>215</v>
      </c>
      <c r="C179" s="6" t="s">
        <v>20</v>
      </c>
      <c r="D179" s="6" t="s">
        <v>21</v>
      </c>
      <c r="E179" s="6" t="s">
        <v>32</v>
      </c>
      <c r="F179" s="6" t="s">
        <v>17</v>
      </c>
      <c r="G179" s="6" t="s">
        <v>18</v>
      </c>
      <c r="H179" s="7">
        <v>45100.0</v>
      </c>
      <c r="I179" s="8">
        <v>13.0</v>
      </c>
      <c r="J179" s="8">
        <v>451.18</v>
      </c>
      <c r="K179" s="8">
        <v>358.53</v>
      </c>
      <c r="L179" s="27">
        <f t="shared" si="1"/>
        <v>5865.34</v>
      </c>
    </row>
    <row r="180">
      <c r="B180" s="6" t="s">
        <v>216</v>
      </c>
      <c r="C180" s="6" t="s">
        <v>20</v>
      </c>
      <c r="D180" s="6" t="s">
        <v>63</v>
      </c>
      <c r="E180" s="6" t="s">
        <v>16</v>
      </c>
      <c r="F180" s="6" t="s">
        <v>17</v>
      </c>
      <c r="G180" s="6" t="s">
        <v>18</v>
      </c>
      <c r="H180" s="7">
        <v>45101.0</v>
      </c>
      <c r="I180" s="8">
        <v>474.0</v>
      </c>
      <c r="J180" s="8">
        <v>439.56</v>
      </c>
      <c r="K180" s="8">
        <v>130.24</v>
      </c>
      <c r="L180" s="27">
        <f t="shared" si="1"/>
        <v>208351.44</v>
      </c>
    </row>
    <row r="181">
      <c r="B181" s="6" t="s">
        <v>217</v>
      </c>
      <c r="C181" s="6" t="s">
        <v>61</v>
      </c>
      <c r="D181" s="6" t="s">
        <v>63</v>
      </c>
      <c r="E181" s="6" t="s">
        <v>32</v>
      </c>
      <c r="F181" s="6" t="s">
        <v>28</v>
      </c>
      <c r="G181" s="6" t="s">
        <v>33</v>
      </c>
      <c r="H181" s="7">
        <v>45102.0</v>
      </c>
      <c r="I181" s="8">
        <v>108.0</v>
      </c>
      <c r="J181" s="8">
        <v>162.01</v>
      </c>
      <c r="K181" s="8">
        <v>51.84</v>
      </c>
      <c r="L181" s="27">
        <f t="shared" si="1"/>
        <v>17497.08</v>
      </c>
    </row>
    <row r="182">
      <c r="B182" s="6" t="s">
        <v>218</v>
      </c>
      <c r="C182" s="6" t="s">
        <v>14</v>
      </c>
      <c r="D182" s="6" t="s">
        <v>21</v>
      </c>
      <c r="E182" s="6" t="s">
        <v>16</v>
      </c>
      <c r="F182" s="6" t="s">
        <v>17</v>
      </c>
      <c r="G182" s="6" t="s">
        <v>23</v>
      </c>
      <c r="H182" s="7">
        <v>45103.0</v>
      </c>
      <c r="I182" s="8">
        <v>406.0</v>
      </c>
      <c r="J182" s="8">
        <v>435.11</v>
      </c>
      <c r="K182" s="8">
        <v>190.79</v>
      </c>
      <c r="L182" s="27">
        <f t="shared" si="1"/>
        <v>176654.66</v>
      </c>
    </row>
    <row r="183">
      <c r="B183" s="6" t="s">
        <v>219</v>
      </c>
      <c r="C183" s="6" t="s">
        <v>14</v>
      </c>
      <c r="D183" s="6" t="s">
        <v>63</v>
      </c>
      <c r="E183" s="6" t="s">
        <v>27</v>
      </c>
      <c r="F183" s="6" t="s">
        <v>17</v>
      </c>
      <c r="G183" s="6" t="s">
        <v>33</v>
      </c>
      <c r="H183" s="7">
        <v>45104.0</v>
      </c>
      <c r="I183" s="8">
        <v>498.0</v>
      </c>
      <c r="J183" s="8">
        <v>190.96</v>
      </c>
      <c r="K183" s="8">
        <v>47.35</v>
      </c>
      <c r="L183" s="27">
        <f t="shared" si="1"/>
        <v>95098.08</v>
      </c>
    </row>
    <row r="184">
      <c r="B184" s="6" t="s">
        <v>220</v>
      </c>
      <c r="C184" s="6" t="s">
        <v>26</v>
      </c>
      <c r="D184" s="6" t="s">
        <v>63</v>
      </c>
      <c r="E184" s="6" t="s">
        <v>27</v>
      </c>
      <c r="F184" s="6" t="s">
        <v>28</v>
      </c>
      <c r="G184" s="6" t="s">
        <v>23</v>
      </c>
      <c r="H184" s="7">
        <v>45105.0</v>
      </c>
      <c r="I184" s="8">
        <v>48.0</v>
      </c>
      <c r="J184" s="8">
        <v>151.95</v>
      </c>
      <c r="K184" s="8">
        <v>195.43</v>
      </c>
      <c r="L184" s="27">
        <f t="shared" si="1"/>
        <v>7293.6</v>
      </c>
    </row>
    <row r="185">
      <c r="B185" s="6" t="s">
        <v>221</v>
      </c>
      <c r="C185" s="6" t="s">
        <v>14</v>
      </c>
      <c r="D185" s="6" t="s">
        <v>63</v>
      </c>
      <c r="E185" s="6" t="s">
        <v>27</v>
      </c>
      <c r="F185" s="6" t="s">
        <v>17</v>
      </c>
      <c r="G185" s="6" t="s">
        <v>18</v>
      </c>
      <c r="H185" s="7">
        <v>45106.0</v>
      </c>
      <c r="I185" s="8">
        <v>280.0</v>
      </c>
      <c r="J185" s="8">
        <v>326.29</v>
      </c>
      <c r="K185" s="8">
        <v>368.28</v>
      </c>
      <c r="L185" s="27">
        <f t="shared" si="1"/>
        <v>91361.2</v>
      </c>
    </row>
    <row r="186">
      <c r="B186" s="6" t="s">
        <v>222</v>
      </c>
      <c r="C186" s="6" t="s">
        <v>26</v>
      </c>
      <c r="D186" s="6" t="s">
        <v>39</v>
      </c>
      <c r="E186" s="6" t="s">
        <v>27</v>
      </c>
      <c r="F186" s="6" t="s">
        <v>17</v>
      </c>
      <c r="G186" s="6" t="s">
        <v>23</v>
      </c>
      <c r="H186" s="7">
        <v>45107.0</v>
      </c>
      <c r="I186" s="8">
        <v>384.0</v>
      </c>
      <c r="J186" s="8">
        <v>167.55</v>
      </c>
      <c r="K186" s="8">
        <v>209.27</v>
      </c>
      <c r="L186" s="27">
        <f t="shared" si="1"/>
        <v>64339.2</v>
      </c>
    </row>
    <row r="187">
      <c r="B187" s="6" t="s">
        <v>223</v>
      </c>
      <c r="C187" s="6" t="s">
        <v>14</v>
      </c>
      <c r="D187" s="6" t="s">
        <v>15</v>
      </c>
      <c r="E187" s="6" t="s">
        <v>55</v>
      </c>
      <c r="F187" s="6" t="s">
        <v>17</v>
      </c>
      <c r="G187" s="6" t="s">
        <v>33</v>
      </c>
      <c r="H187" s="7">
        <v>45108.0</v>
      </c>
      <c r="I187" s="8">
        <v>294.0</v>
      </c>
      <c r="J187" s="8">
        <v>316.95</v>
      </c>
      <c r="K187" s="8">
        <v>247.37</v>
      </c>
      <c r="L187" s="27">
        <f t="shared" si="1"/>
        <v>93183.3</v>
      </c>
    </row>
    <row r="188">
      <c r="B188" s="6" t="s">
        <v>224</v>
      </c>
      <c r="C188" s="6" t="s">
        <v>61</v>
      </c>
      <c r="D188" s="6" t="s">
        <v>31</v>
      </c>
      <c r="E188" s="6" t="s">
        <v>27</v>
      </c>
      <c r="F188" s="6" t="s">
        <v>17</v>
      </c>
      <c r="G188" s="6" t="s">
        <v>18</v>
      </c>
      <c r="H188" s="7">
        <v>45109.0</v>
      </c>
      <c r="I188" s="8">
        <v>166.0</v>
      </c>
      <c r="J188" s="8">
        <v>306.87</v>
      </c>
      <c r="K188" s="8">
        <v>64.34</v>
      </c>
      <c r="L188" s="27">
        <f t="shared" si="1"/>
        <v>50940.42</v>
      </c>
    </row>
    <row r="189">
      <c r="B189" s="6" t="s">
        <v>225</v>
      </c>
      <c r="C189" s="6" t="s">
        <v>14</v>
      </c>
      <c r="D189" s="6" t="s">
        <v>39</v>
      </c>
      <c r="E189" s="6" t="s">
        <v>22</v>
      </c>
      <c r="F189" s="6" t="s">
        <v>17</v>
      </c>
      <c r="G189" s="6" t="s">
        <v>33</v>
      </c>
      <c r="H189" s="7">
        <v>45110.0</v>
      </c>
      <c r="I189" s="8">
        <v>84.0</v>
      </c>
      <c r="J189" s="8">
        <v>283.9</v>
      </c>
      <c r="K189" s="8">
        <v>19.41</v>
      </c>
      <c r="L189" s="27">
        <f t="shared" si="1"/>
        <v>23847.6</v>
      </c>
    </row>
    <row r="190">
      <c r="B190" s="6" t="s">
        <v>226</v>
      </c>
      <c r="C190" s="6" t="s">
        <v>26</v>
      </c>
      <c r="D190" s="6" t="s">
        <v>63</v>
      </c>
      <c r="E190" s="6" t="s">
        <v>22</v>
      </c>
      <c r="F190" s="6" t="s">
        <v>17</v>
      </c>
      <c r="G190" s="6" t="s">
        <v>33</v>
      </c>
      <c r="H190" s="7">
        <v>45111.0</v>
      </c>
      <c r="I190" s="8">
        <v>381.0</v>
      </c>
      <c r="J190" s="8">
        <v>193.31</v>
      </c>
      <c r="K190" s="8">
        <v>46.1</v>
      </c>
      <c r="L190" s="27">
        <f t="shared" si="1"/>
        <v>73651.11</v>
      </c>
    </row>
    <row r="191">
      <c r="B191" s="6" t="s">
        <v>227</v>
      </c>
      <c r="C191" s="6" t="s">
        <v>26</v>
      </c>
      <c r="D191" s="6" t="s">
        <v>21</v>
      </c>
      <c r="E191" s="6" t="s">
        <v>55</v>
      </c>
      <c r="F191" s="6" t="s">
        <v>28</v>
      </c>
      <c r="G191" s="6" t="s">
        <v>23</v>
      </c>
      <c r="H191" s="7">
        <v>45112.0</v>
      </c>
      <c r="I191" s="8">
        <v>297.0</v>
      </c>
      <c r="J191" s="8">
        <v>276.51</v>
      </c>
      <c r="K191" s="8">
        <v>240.22</v>
      </c>
      <c r="L191" s="27">
        <f t="shared" si="1"/>
        <v>82123.47</v>
      </c>
    </row>
    <row r="192">
      <c r="B192" s="6" t="s">
        <v>228</v>
      </c>
      <c r="C192" s="6" t="s">
        <v>61</v>
      </c>
      <c r="D192" s="6" t="s">
        <v>63</v>
      </c>
      <c r="E192" s="6" t="s">
        <v>27</v>
      </c>
      <c r="F192" s="6" t="s">
        <v>28</v>
      </c>
      <c r="G192" s="6" t="s">
        <v>33</v>
      </c>
      <c r="H192" s="7">
        <v>45113.0</v>
      </c>
      <c r="I192" s="8">
        <v>139.0</v>
      </c>
      <c r="J192" s="8">
        <v>300.26</v>
      </c>
      <c r="K192" s="8">
        <v>39.81</v>
      </c>
      <c r="L192" s="27">
        <f t="shared" si="1"/>
        <v>41736.14</v>
      </c>
    </row>
    <row r="193">
      <c r="B193" s="6" t="s">
        <v>229</v>
      </c>
      <c r="C193" s="6" t="s">
        <v>14</v>
      </c>
      <c r="D193" s="6" t="s">
        <v>15</v>
      </c>
      <c r="E193" s="6" t="s">
        <v>27</v>
      </c>
      <c r="F193" s="6" t="s">
        <v>17</v>
      </c>
      <c r="G193" s="6" t="s">
        <v>23</v>
      </c>
      <c r="H193" s="7">
        <v>45114.0</v>
      </c>
      <c r="I193" s="8">
        <v>184.0</v>
      </c>
      <c r="J193" s="8">
        <v>275.12</v>
      </c>
      <c r="K193" s="8">
        <v>151.65</v>
      </c>
      <c r="L193" s="27">
        <f t="shared" si="1"/>
        <v>50622.08</v>
      </c>
    </row>
    <row r="194">
      <c r="B194" s="6" t="s">
        <v>230</v>
      </c>
      <c r="C194" s="6" t="s">
        <v>14</v>
      </c>
      <c r="D194" s="6" t="s">
        <v>63</v>
      </c>
      <c r="E194" s="6" t="s">
        <v>27</v>
      </c>
      <c r="F194" s="6" t="s">
        <v>17</v>
      </c>
      <c r="G194" s="6" t="s">
        <v>18</v>
      </c>
      <c r="H194" s="7">
        <v>45115.0</v>
      </c>
      <c r="I194" s="8">
        <v>471.0</v>
      </c>
      <c r="J194" s="8">
        <v>224.99</v>
      </c>
      <c r="K194" s="8">
        <v>220.94</v>
      </c>
      <c r="L194" s="27">
        <f t="shared" si="1"/>
        <v>105970.29</v>
      </c>
    </row>
    <row r="195">
      <c r="B195" s="6" t="s">
        <v>231</v>
      </c>
      <c r="C195" s="6" t="s">
        <v>61</v>
      </c>
      <c r="D195" s="6" t="s">
        <v>21</v>
      </c>
      <c r="E195" s="6" t="s">
        <v>16</v>
      </c>
      <c r="F195" s="6" t="s">
        <v>28</v>
      </c>
      <c r="G195" s="6" t="s">
        <v>23</v>
      </c>
      <c r="H195" s="7">
        <v>45116.0</v>
      </c>
      <c r="I195" s="8">
        <v>93.0</v>
      </c>
      <c r="J195" s="8">
        <v>12.26</v>
      </c>
      <c r="K195" s="8">
        <v>156.68</v>
      </c>
      <c r="L195" s="27">
        <f t="shared" si="1"/>
        <v>1140.18</v>
      </c>
    </row>
    <row r="196">
      <c r="B196" s="6" t="s">
        <v>232</v>
      </c>
      <c r="C196" s="6" t="s">
        <v>14</v>
      </c>
      <c r="D196" s="6" t="s">
        <v>15</v>
      </c>
      <c r="E196" s="6" t="s">
        <v>32</v>
      </c>
      <c r="F196" s="6" t="s">
        <v>17</v>
      </c>
      <c r="G196" s="6" t="s">
        <v>18</v>
      </c>
      <c r="H196" s="7">
        <v>45117.0</v>
      </c>
      <c r="I196" s="8">
        <v>31.0</v>
      </c>
      <c r="J196" s="8">
        <v>295.6</v>
      </c>
      <c r="K196" s="8">
        <v>67.15</v>
      </c>
      <c r="L196" s="27">
        <f t="shared" si="1"/>
        <v>9163.6</v>
      </c>
    </row>
    <row r="197">
      <c r="B197" s="6" t="s">
        <v>233</v>
      </c>
      <c r="C197" s="6" t="s">
        <v>14</v>
      </c>
      <c r="D197" s="6" t="s">
        <v>63</v>
      </c>
      <c r="E197" s="6" t="s">
        <v>16</v>
      </c>
      <c r="F197" s="6" t="s">
        <v>17</v>
      </c>
      <c r="G197" s="6" t="s">
        <v>23</v>
      </c>
      <c r="H197" s="7">
        <v>45118.0</v>
      </c>
      <c r="I197" s="8">
        <v>468.0</v>
      </c>
      <c r="J197" s="8">
        <v>88.38</v>
      </c>
      <c r="K197" s="8">
        <v>110.97</v>
      </c>
      <c r="L197" s="27">
        <f t="shared" si="1"/>
        <v>41361.84</v>
      </c>
    </row>
    <row r="198">
      <c r="B198" s="6" t="s">
        <v>234</v>
      </c>
      <c r="C198" s="6" t="s">
        <v>26</v>
      </c>
      <c r="D198" s="6" t="s">
        <v>15</v>
      </c>
      <c r="E198" s="6" t="s">
        <v>32</v>
      </c>
      <c r="F198" s="6" t="s">
        <v>17</v>
      </c>
      <c r="G198" s="6" t="s">
        <v>33</v>
      </c>
      <c r="H198" s="7">
        <v>45119.0</v>
      </c>
      <c r="I198" s="8">
        <v>36.0</v>
      </c>
      <c r="J198" s="8">
        <v>323.08</v>
      </c>
      <c r="K198" s="8">
        <v>371.47</v>
      </c>
      <c r="L198" s="27">
        <f t="shared" si="1"/>
        <v>11630.88</v>
      </c>
    </row>
    <row r="199">
      <c r="B199" s="6" t="s">
        <v>235</v>
      </c>
      <c r="C199" s="6" t="s">
        <v>14</v>
      </c>
      <c r="D199" s="6" t="s">
        <v>31</v>
      </c>
      <c r="E199" s="6" t="s">
        <v>27</v>
      </c>
      <c r="F199" s="6" t="s">
        <v>28</v>
      </c>
      <c r="G199" s="6" t="s">
        <v>23</v>
      </c>
      <c r="H199" s="7">
        <v>45120.0</v>
      </c>
      <c r="I199" s="8">
        <v>204.0</v>
      </c>
      <c r="J199" s="8">
        <v>380.88</v>
      </c>
      <c r="K199" s="8">
        <v>271.04</v>
      </c>
      <c r="L199" s="27">
        <f t="shared" si="1"/>
        <v>77699.52</v>
      </c>
    </row>
    <row r="200">
      <c r="B200" s="6" t="s">
        <v>236</v>
      </c>
      <c r="C200" s="6" t="s">
        <v>14</v>
      </c>
      <c r="D200" s="6" t="s">
        <v>31</v>
      </c>
      <c r="E200" s="6" t="s">
        <v>27</v>
      </c>
      <c r="F200" s="6" t="s">
        <v>17</v>
      </c>
      <c r="G200" s="6" t="s">
        <v>23</v>
      </c>
      <c r="H200" s="7">
        <v>45121.0</v>
      </c>
      <c r="I200" s="8">
        <v>346.0</v>
      </c>
      <c r="J200" s="8">
        <v>252.72</v>
      </c>
      <c r="K200" s="8">
        <v>199.43</v>
      </c>
      <c r="L200" s="27">
        <f t="shared" si="1"/>
        <v>87441.12</v>
      </c>
    </row>
    <row r="201">
      <c r="B201" s="6" t="s">
        <v>237</v>
      </c>
      <c r="C201" s="6" t="s">
        <v>61</v>
      </c>
      <c r="D201" s="6" t="s">
        <v>63</v>
      </c>
      <c r="E201" s="6" t="s">
        <v>16</v>
      </c>
      <c r="F201" s="6" t="s">
        <v>28</v>
      </c>
      <c r="G201" s="6" t="s">
        <v>18</v>
      </c>
      <c r="H201" s="7">
        <v>45122.0</v>
      </c>
      <c r="I201" s="8">
        <v>391.0</v>
      </c>
      <c r="J201" s="8">
        <v>273.47</v>
      </c>
      <c r="K201" s="8">
        <v>7.06</v>
      </c>
      <c r="L201" s="27">
        <f t="shared" si="1"/>
        <v>106926.77</v>
      </c>
    </row>
    <row r="202">
      <c r="B202" s="6" t="s">
        <v>238</v>
      </c>
      <c r="C202" s="6" t="s">
        <v>61</v>
      </c>
      <c r="D202" s="6" t="s">
        <v>15</v>
      </c>
      <c r="E202" s="6" t="s">
        <v>16</v>
      </c>
      <c r="F202" s="6" t="s">
        <v>17</v>
      </c>
      <c r="G202" s="6" t="s">
        <v>33</v>
      </c>
      <c r="H202" s="7">
        <v>45123.0</v>
      </c>
      <c r="I202" s="8">
        <v>245.0</v>
      </c>
      <c r="J202" s="8">
        <v>475.98</v>
      </c>
      <c r="K202" s="8">
        <v>396.98</v>
      </c>
      <c r="L202" s="27">
        <f t="shared" si="1"/>
        <v>116615.1</v>
      </c>
    </row>
    <row r="203">
      <c r="B203" s="6" t="s">
        <v>239</v>
      </c>
      <c r="C203" s="6" t="s">
        <v>20</v>
      </c>
      <c r="D203" s="6" t="s">
        <v>21</v>
      </c>
      <c r="E203" s="6" t="s">
        <v>32</v>
      </c>
      <c r="F203" s="6" t="s">
        <v>28</v>
      </c>
      <c r="G203" s="6" t="s">
        <v>23</v>
      </c>
      <c r="H203" s="7">
        <v>45124.0</v>
      </c>
      <c r="I203" s="8">
        <v>449.0</v>
      </c>
      <c r="J203" s="8">
        <v>424.35</v>
      </c>
      <c r="K203" s="8">
        <v>269.24</v>
      </c>
      <c r="L203" s="27">
        <f t="shared" si="1"/>
        <v>190533.15</v>
      </c>
    </row>
    <row r="204">
      <c r="B204" s="6" t="s">
        <v>240</v>
      </c>
      <c r="C204" s="6" t="s">
        <v>26</v>
      </c>
      <c r="D204" s="6" t="s">
        <v>63</v>
      </c>
      <c r="E204" s="6" t="s">
        <v>22</v>
      </c>
      <c r="F204" s="6" t="s">
        <v>28</v>
      </c>
      <c r="G204" s="6" t="s">
        <v>33</v>
      </c>
      <c r="H204" s="7">
        <v>45125.0</v>
      </c>
      <c r="I204" s="8">
        <v>101.0</v>
      </c>
      <c r="J204" s="8">
        <v>457.55</v>
      </c>
      <c r="K204" s="8">
        <v>128.14</v>
      </c>
      <c r="L204" s="27">
        <f t="shared" si="1"/>
        <v>46212.55</v>
      </c>
    </row>
    <row r="205">
      <c r="B205" s="6" t="s">
        <v>241</v>
      </c>
      <c r="C205" s="6" t="s">
        <v>14</v>
      </c>
      <c r="D205" s="6" t="s">
        <v>31</v>
      </c>
      <c r="E205" s="6" t="s">
        <v>32</v>
      </c>
      <c r="F205" s="6" t="s">
        <v>17</v>
      </c>
      <c r="G205" s="6" t="s">
        <v>23</v>
      </c>
      <c r="H205" s="7">
        <v>45126.0</v>
      </c>
      <c r="I205" s="6"/>
      <c r="J205" s="8">
        <v>407.81</v>
      </c>
      <c r="K205" s="8">
        <v>351.95</v>
      </c>
      <c r="L205" s="27">
        <f t="shared" si="1"/>
        <v>0</v>
      </c>
    </row>
    <row r="206">
      <c r="B206" s="6" t="s">
        <v>242</v>
      </c>
      <c r="C206" s="6" t="s">
        <v>14</v>
      </c>
      <c r="D206" s="6" t="s">
        <v>31</v>
      </c>
      <c r="E206" s="6" t="s">
        <v>16</v>
      </c>
      <c r="F206" s="6" t="s">
        <v>28</v>
      </c>
      <c r="G206" s="6" t="s">
        <v>23</v>
      </c>
      <c r="H206" s="7">
        <v>45127.0</v>
      </c>
      <c r="I206" s="8">
        <v>30.0</v>
      </c>
      <c r="J206" s="8">
        <v>58.91</v>
      </c>
      <c r="K206" s="8">
        <v>104.86</v>
      </c>
      <c r="L206" s="27">
        <f t="shared" si="1"/>
        <v>1767.3</v>
      </c>
    </row>
    <row r="207">
      <c r="B207" s="6" t="s">
        <v>243</v>
      </c>
      <c r="C207" s="6" t="s">
        <v>20</v>
      </c>
      <c r="D207" s="6" t="s">
        <v>63</v>
      </c>
      <c r="E207" s="6" t="s">
        <v>16</v>
      </c>
      <c r="F207" s="6" t="s">
        <v>17</v>
      </c>
      <c r="G207" s="6" t="s">
        <v>33</v>
      </c>
      <c r="H207" s="7">
        <v>45128.0</v>
      </c>
      <c r="I207" s="8">
        <v>312.0</v>
      </c>
      <c r="J207" s="8">
        <v>78.75</v>
      </c>
      <c r="K207" s="8">
        <v>218.52</v>
      </c>
      <c r="L207" s="27">
        <f t="shared" si="1"/>
        <v>24570</v>
      </c>
    </row>
    <row r="208">
      <c r="B208" s="6" t="s">
        <v>244</v>
      </c>
      <c r="C208" s="6" t="s">
        <v>14</v>
      </c>
      <c r="D208" s="6" t="s">
        <v>15</v>
      </c>
      <c r="E208" s="6" t="s">
        <v>55</v>
      </c>
      <c r="F208" s="6" t="s">
        <v>28</v>
      </c>
      <c r="G208" s="6" t="s">
        <v>23</v>
      </c>
      <c r="H208" s="7">
        <v>45129.0</v>
      </c>
      <c r="I208" s="8">
        <v>473.0</v>
      </c>
      <c r="J208" s="8">
        <v>265.68</v>
      </c>
      <c r="K208" s="8">
        <v>255.16</v>
      </c>
      <c r="L208" s="27">
        <f t="shared" si="1"/>
        <v>125666.64</v>
      </c>
    </row>
    <row r="209">
      <c r="B209" s="6" t="s">
        <v>245</v>
      </c>
      <c r="C209" s="6" t="s">
        <v>26</v>
      </c>
      <c r="D209" s="6" t="s">
        <v>31</v>
      </c>
      <c r="E209" s="6" t="s">
        <v>16</v>
      </c>
      <c r="F209" s="6" t="s">
        <v>17</v>
      </c>
      <c r="G209" s="6" t="s">
        <v>33</v>
      </c>
      <c r="H209" s="7">
        <v>45130.0</v>
      </c>
      <c r="I209" s="8">
        <v>366.0</v>
      </c>
      <c r="J209" s="8">
        <v>126.8</v>
      </c>
      <c r="K209" s="8">
        <v>89.98</v>
      </c>
      <c r="L209" s="27">
        <f t="shared" si="1"/>
        <v>46408.8</v>
      </c>
    </row>
    <row r="210">
      <c r="B210" s="6" t="s">
        <v>246</v>
      </c>
      <c r="C210" s="6" t="s">
        <v>20</v>
      </c>
      <c r="D210" s="6" t="s">
        <v>15</v>
      </c>
      <c r="E210" s="6" t="s">
        <v>55</v>
      </c>
      <c r="F210" s="6" t="s">
        <v>17</v>
      </c>
      <c r="G210" s="6" t="s">
        <v>23</v>
      </c>
      <c r="H210" s="7">
        <v>45131.0</v>
      </c>
      <c r="I210" s="8">
        <v>452.0</v>
      </c>
      <c r="J210" s="8">
        <v>240.96</v>
      </c>
      <c r="K210" s="8">
        <v>391.4</v>
      </c>
      <c r="L210" s="27">
        <f t="shared" si="1"/>
        <v>108913.92</v>
      </c>
    </row>
    <row r="211">
      <c r="B211" s="6" t="s">
        <v>247</v>
      </c>
      <c r="C211" s="6" t="s">
        <v>26</v>
      </c>
      <c r="D211" s="6" t="s">
        <v>31</v>
      </c>
      <c r="E211" s="6" t="s">
        <v>22</v>
      </c>
      <c r="F211" s="6" t="s">
        <v>28</v>
      </c>
      <c r="G211" s="6" t="s">
        <v>18</v>
      </c>
      <c r="H211" s="7">
        <v>45132.0</v>
      </c>
      <c r="I211" s="8">
        <v>93.0</v>
      </c>
      <c r="J211" s="8">
        <v>200.21</v>
      </c>
      <c r="K211" s="8">
        <v>299.78</v>
      </c>
      <c r="L211" s="27">
        <f t="shared" si="1"/>
        <v>18619.53</v>
      </c>
    </row>
    <row r="212">
      <c r="B212" s="6" t="s">
        <v>248</v>
      </c>
      <c r="C212" s="6" t="s">
        <v>20</v>
      </c>
      <c r="D212" s="6" t="s">
        <v>31</v>
      </c>
      <c r="E212" s="6" t="s">
        <v>32</v>
      </c>
      <c r="F212" s="6" t="s">
        <v>17</v>
      </c>
      <c r="G212" s="6" t="s">
        <v>33</v>
      </c>
      <c r="H212" s="7">
        <v>45133.0</v>
      </c>
      <c r="I212" s="8">
        <v>271.0</v>
      </c>
      <c r="J212" s="8">
        <v>276.96</v>
      </c>
      <c r="K212" s="8">
        <v>224.01</v>
      </c>
      <c r="L212" s="27">
        <f t="shared" si="1"/>
        <v>75056.16</v>
      </c>
    </row>
    <row r="213">
      <c r="B213" s="6" t="s">
        <v>249</v>
      </c>
      <c r="C213" s="6" t="s">
        <v>20</v>
      </c>
      <c r="D213" s="6" t="s">
        <v>39</v>
      </c>
      <c r="E213" s="6" t="s">
        <v>32</v>
      </c>
      <c r="F213" s="6" t="s">
        <v>17</v>
      </c>
      <c r="G213" s="6" t="s">
        <v>23</v>
      </c>
      <c r="H213" s="7">
        <v>45134.0</v>
      </c>
      <c r="I213" s="8">
        <v>156.0</v>
      </c>
      <c r="J213" s="8">
        <v>374.7</v>
      </c>
      <c r="K213" s="8">
        <v>73.88</v>
      </c>
      <c r="L213" s="27">
        <f t="shared" si="1"/>
        <v>58453.2</v>
      </c>
    </row>
    <row r="214">
      <c r="B214" s="6" t="s">
        <v>250</v>
      </c>
      <c r="C214" s="6" t="s">
        <v>61</v>
      </c>
      <c r="D214" s="6" t="s">
        <v>31</v>
      </c>
      <c r="E214" s="6" t="s">
        <v>55</v>
      </c>
      <c r="F214" s="6" t="s">
        <v>28</v>
      </c>
      <c r="G214" s="6" t="s">
        <v>23</v>
      </c>
      <c r="H214" s="7">
        <v>45135.0</v>
      </c>
      <c r="I214" s="8">
        <v>450.0</v>
      </c>
      <c r="J214" s="8">
        <v>359.17</v>
      </c>
      <c r="K214" s="8">
        <v>23.44</v>
      </c>
      <c r="L214" s="27">
        <f t="shared" si="1"/>
        <v>161626.5</v>
      </c>
    </row>
    <row r="215">
      <c r="B215" s="6" t="s">
        <v>251</v>
      </c>
      <c r="C215" s="6" t="s">
        <v>26</v>
      </c>
      <c r="D215" s="6" t="s">
        <v>21</v>
      </c>
      <c r="E215" s="6" t="s">
        <v>32</v>
      </c>
      <c r="F215" s="6" t="s">
        <v>17</v>
      </c>
      <c r="G215" s="6" t="s">
        <v>18</v>
      </c>
      <c r="H215" s="7">
        <v>45136.0</v>
      </c>
      <c r="I215" s="8">
        <v>462.0</v>
      </c>
      <c r="J215" s="8">
        <v>263.01</v>
      </c>
      <c r="K215" s="8">
        <v>129.38</v>
      </c>
      <c r="L215" s="27">
        <f t="shared" si="1"/>
        <v>121510.62</v>
      </c>
    </row>
    <row r="216">
      <c r="B216" s="6" t="s">
        <v>252</v>
      </c>
      <c r="C216" s="6" t="s">
        <v>14</v>
      </c>
      <c r="D216" s="6" t="s">
        <v>63</v>
      </c>
      <c r="E216" s="6"/>
      <c r="F216" s="6" t="s">
        <v>17</v>
      </c>
      <c r="G216" s="6" t="s">
        <v>33</v>
      </c>
      <c r="H216" s="7">
        <v>45137.0</v>
      </c>
      <c r="I216" s="8">
        <v>396.0</v>
      </c>
      <c r="J216" s="8">
        <v>412.08</v>
      </c>
      <c r="K216" s="8">
        <v>301.77</v>
      </c>
      <c r="L216" s="27">
        <f t="shared" si="1"/>
        <v>163183.68</v>
      </c>
    </row>
    <row r="217">
      <c r="B217" s="6" t="s">
        <v>253</v>
      </c>
      <c r="C217" s="6" t="s">
        <v>14</v>
      </c>
      <c r="D217" s="6" t="s">
        <v>63</v>
      </c>
      <c r="E217" s="6" t="s">
        <v>27</v>
      </c>
      <c r="F217" s="6" t="s">
        <v>28</v>
      </c>
      <c r="G217" s="6" t="s">
        <v>23</v>
      </c>
      <c r="H217" s="7">
        <v>45138.0</v>
      </c>
      <c r="I217" s="8">
        <v>266.0</v>
      </c>
      <c r="J217" s="8">
        <v>218.28</v>
      </c>
      <c r="K217" s="8">
        <v>109.19</v>
      </c>
      <c r="L217" s="27">
        <f t="shared" si="1"/>
        <v>58062.48</v>
      </c>
    </row>
    <row r="218">
      <c r="B218" s="6" t="s">
        <v>254</v>
      </c>
      <c r="C218" s="6" t="s">
        <v>26</v>
      </c>
      <c r="D218" s="6" t="s">
        <v>15</v>
      </c>
      <c r="E218" s="6" t="s">
        <v>55</v>
      </c>
      <c r="F218" s="6" t="s">
        <v>28</v>
      </c>
      <c r="G218" s="6" t="s">
        <v>18</v>
      </c>
      <c r="H218" s="7">
        <v>45139.0</v>
      </c>
      <c r="I218" s="8">
        <v>67.0</v>
      </c>
      <c r="J218" s="8">
        <v>448.87</v>
      </c>
      <c r="K218" s="8">
        <v>216.74</v>
      </c>
      <c r="L218" s="27">
        <f t="shared" si="1"/>
        <v>30074.29</v>
      </c>
    </row>
    <row r="219">
      <c r="B219" s="6" t="s">
        <v>255</v>
      </c>
      <c r="C219" s="6" t="s">
        <v>14</v>
      </c>
      <c r="D219" s="6" t="s">
        <v>31</v>
      </c>
      <c r="E219" s="6" t="s">
        <v>32</v>
      </c>
      <c r="F219" s="6" t="s">
        <v>17</v>
      </c>
      <c r="G219" s="6" t="s">
        <v>23</v>
      </c>
      <c r="H219" s="7">
        <v>45140.0</v>
      </c>
      <c r="I219" s="8">
        <v>389.0</v>
      </c>
      <c r="J219" s="8">
        <v>40.28</v>
      </c>
      <c r="K219" s="8">
        <v>291.72</v>
      </c>
      <c r="L219" s="27">
        <f t="shared" si="1"/>
        <v>15668.92</v>
      </c>
    </row>
    <row r="220">
      <c r="B220" s="6" t="s">
        <v>256</v>
      </c>
      <c r="C220" s="6" t="s">
        <v>14</v>
      </c>
      <c r="D220" s="6" t="s">
        <v>21</v>
      </c>
      <c r="E220" s="6" t="s">
        <v>55</v>
      </c>
      <c r="F220" s="6" t="s">
        <v>17</v>
      </c>
      <c r="G220" s="6" t="s">
        <v>33</v>
      </c>
      <c r="H220" s="7">
        <v>45141.0</v>
      </c>
      <c r="I220" s="8">
        <v>431.0</v>
      </c>
      <c r="J220" s="8">
        <v>477.56</v>
      </c>
      <c r="K220" s="8">
        <v>44.96</v>
      </c>
      <c r="L220" s="27">
        <f t="shared" si="1"/>
        <v>205828.36</v>
      </c>
    </row>
    <row r="221">
      <c r="B221" s="6" t="s">
        <v>257</v>
      </c>
      <c r="C221" s="6" t="s">
        <v>26</v>
      </c>
      <c r="D221" s="6" t="s">
        <v>15</v>
      </c>
      <c r="E221" s="6" t="s">
        <v>55</v>
      </c>
      <c r="F221" s="6" t="s">
        <v>28</v>
      </c>
      <c r="G221" s="6" t="s">
        <v>23</v>
      </c>
      <c r="H221" s="7">
        <v>45142.0</v>
      </c>
      <c r="I221" s="8">
        <v>24.0</v>
      </c>
      <c r="J221" s="8">
        <v>329.07</v>
      </c>
      <c r="K221" s="8">
        <v>274.75</v>
      </c>
      <c r="L221" s="27">
        <f t="shared" si="1"/>
        <v>7897.68</v>
      </c>
    </row>
    <row r="222">
      <c r="B222" s="6" t="s">
        <v>258</v>
      </c>
      <c r="C222" s="6" t="s">
        <v>20</v>
      </c>
      <c r="D222" s="6" t="s">
        <v>39</v>
      </c>
      <c r="E222" s="6" t="s">
        <v>27</v>
      </c>
      <c r="F222" s="6" t="s">
        <v>28</v>
      </c>
      <c r="G222" s="6" t="s">
        <v>23</v>
      </c>
      <c r="H222" s="7">
        <v>45143.0</v>
      </c>
      <c r="I222" s="8">
        <v>171.0</v>
      </c>
      <c r="J222" s="8">
        <v>193.14</v>
      </c>
      <c r="K222" s="8">
        <v>38.56</v>
      </c>
      <c r="L222" s="27">
        <f t="shared" si="1"/>
        <v>33026.94</v>
      </c>
    </row>
    <row r="223">
      <c r="B223" s="6" t="s">
        <v>259</v>
      </c>
      <c r="C223" s="6" t="s">
        <v>26</v>
      </c>
      <c r="D223" s="6" t="s">
        <v>15</v>
      </c>
      <c r="E223" s="6" t="s">
        <v>16</v>
      </c>
      <c r="F223" s="6" t="s">
        <v>17</v>
      </c>
      <c r="G223" s="6" t="s">
        <v>23</v>
      </c>
      <c r="H223" s="7">
        <v>45144.0</v>
      </c>
      <c r="I223" s="8">
        <v>454.0</v>
      </c>
      <c r="J223" s="8">
        <v>102.59</v>
      </c>
      <c r="K223" s="8">
        <v>386.12</v>
      </c>
      <c r="L223" s="27">
        <f t="shared" si="1"/>
        <v>46575.86</v>
      </c>
    </row>
    <row r="224">
      <c r="B224" s="6" t="s">
        <v>260</v>
      </c>
      <c r="C224" s="6" t="s">
        <v>20</v>
      </c>
      <c r="D224" s="6" t="s">
        <v>15</v>
      </c>
      <c r="E224" s="6" t="s">
        <v>55</v>
      </c>
      <c r="F224" s="6" t="s">
        <v>28</v>
      </c>
      <c r="G224" s="6" t="s">
        <v>23</v>
      </c>
      <c r="H224" s="7">
        <v>45145.0</v>
      </c>
      <c r="I224" s="8">
        <v>172.0</v>
      </c>
      <c r="J224" s="8">
        <v>242.2</v>
      </c>
      <c r="K224" s="8">
        <v>196.38</v>
      </c>
      <c r="L224" s="27">
        <f t="shared" si="1"/>
        <v>41658.4</v>
      </c>
    </row>
    <row r="225">
      <c r="B225" s="6" t="s">
        <v>261</v>
      </c>
      <c r="C225" s="6" t="s">
        <v>14</v>
      </c>
      <c r="D225" s="6" t="s">
        <v>31</v>
      </c>
      <c r="E225" s="6" t="s">
        <v>32</v>
      </c>
      <c r="F225" s="6" t="s">
        <v>17</v>
      </c>
      <c r="G225" s="6" t="s">
        <v>18</v>
      </c>
      <c r="H225" s="7">
        <v>45146.0</v>
      </c>
      <c r="I225" s="8">
        <v>329.0</v>
      </c>
      <c r="J225" s="8">
        <v>101.31</v>
      </c>
      <c r="K225" s="8">
        <v>61.97</v>
      </c>
      <c r="L225" s="27">
        <f t="shared" si="1"/>
        <v>33330.99</v>
      </c>
    </row>
    <row r="226">
      <c r="B226" s="6" t="s">
        <v>262</v>
      </c>
      <c r="C226" s="6" t="s">
        <v>14</v>
      </c>
      <c r="D226" s="6" t="s">
        <v>39</v>
      </c>
      <c r="E226" s="6" t="s">
        <v>22</v>
      </c>
      <c r="F226" s="6" t="s">
        <v>17</v>
      </c>
      <c r="G226" s="6" t="s">
        <v>18</v>
      </c>
      <c r="H226" s="7">
        <v>45147.0</v>
      </c>
      <c r="I226" s="8">
        <v>290.0</v>
      </c>
      <c r="J226" s="8">
        <v>87.33</v>
      </c>
      <c r="K226" s="8">
        <v>138.27</v>
      </c>
      <c r="L226" s="27">
        <f t="shared" si="1"/>
        <v>25325.7</v>
      </c>
    </row>
    <row r="227">
      <c r="B227" s="6" t="s">
        <v>263</v>
      </c>
      <c r="C227" s="6"/>
      <c r="D227" s="6" t="s">
        <v>15</v>
      </c>
      <c r="E227" s="6" t="s">
        <v>55</v>
      </c>
      <c r="F227" s="6" t="s">
        <v>17</v>
      </c>
      <c r="G227" s="6" t="s">
        <v>33</v>
      </c>
      <c r="H227" s="7">
        <v>45148.0</v>
      </c>
      <c r="I227" s="8">
        <v>289.0</v>
      </c>
      <c r="J227" s="8">
        <v>310.59</v>
      </c>
      <c r="K227" s="8">
        <v>166.54</v>
      </c>
      <c r="L227" s="27">
        <f t="shared" si="1"/>
        <v>89760.51</v>
      </c>
    </row>
    <row r="228">
      <c r="B228" s="6" t="s">
        <v>264</v>
      </c>
      <c r="C228" s="6" t="s">
        <v>61</v>
      </c>
      <c r="D228" s="6" t="s">
        <v>21</v>
      </c>
      <c r="E228" s="6" t="s">
        <v>55</v>
      </c>
      <c r="F228" s="6" t="s">
        <v>17</v>
      </c>
      <c r="G228" s="6" t="s">
        <v>18</v>
      </c>
      <c r="H228" s="7">
        <v>45149.0</v>
      </c>
      <c r="I228" s="8">
        <v>21.0</v>
      </c>
      <c r="J228" s="8">
        <v>263.93</v>
      </c>
      <c r="K228" s="8">
        <v>303.76</v>
      </c>
      <c r="L228" s="27">
        <f t="shared" si="1"/>
        <v>5542.53</v>
      </c>
    </row>
    <row r="229">
      <c r="B229" s="6" t="s">
        <v>265</v>
      </c>
      <c r="C229" s="6" t="s">
        <v>20</v>
      </c>
      <c r="D229" s="6" t="s">
        <v>21</v>
      </c>
      <c r="E229" s="6" t="s">
        <v>27</v>
      </c>
      <c r="F229" s="6" t="s">
        <v>17</v>
      </c>
      <c r="G229" s="6" t="s">
        <v>18</v>
      </c>
      <c r="H229" s="7">
        <v>45150.0</v>
      </c>
      <c r="I229" s="8">
        <v>283.0</v>
      </c>
      <c r="J229" s="8">
        <v>336.7</v>
      </c>
      <c r="K229" s="8">
        <v>297.88</v>
      </c>
      <c r="L229" s="27">
        <f t="shared" si="1"/>
        <v>95286.1</v>
      </c>
    </row>
    <row r="230">
      <c r="B230" s="6" t="s">
        <v>266</v>
      </c>
      <c r="C230" s="6" t="s">
        <v>61</v>
      </c>
      <c r="D230" s="6" t="s">
        <v>63</v>
      </c>
      <c r="E230" s="6" t="s">
        <v>16</v>
      </c>
      <c r="F230" s="6" t="s">
        <v>28</v>
      </c>
      <c r="G230" s="6" t="s">
        <v>33</v>
      </c>
      <c r="H230" s="7">
        <v>45151.0</v>
      </c>
      <c r="I230" s="8">
        <v>280.0</v>
      </c>
      <c r="J230" s="8">
        <v>465.15</v>
      </c>
      <c r="K230" s="8">
        <v>245.55</v>
      </c>
      <c r="L230" s="27">
        <f t="shared" si="1"/>
        <v>130242</v>
      </c>
    </row>
    <row r="231">
      <c r="B231" s="6" t="s">
        <v>267</v>
      </c>
      <c r="C231" s="6" t="s">
        <v>61</v>
      </c>
      <c r="D231" s="6" t="s">
        <v>39</v>
      </c>
      <c r="E231" s="6" t="s">
        <v>22</v>
      </c>
      <c r="F231" s="6" t="s">
        <v>28</v>
      </c>
      <c r="G231" s="6" t="s">
        <v>18</v>
      </c>
      <c r="H231" s="7">
        <v>45152.0</v>
      </c>
      <c r="I231" s="8">
        <v>217.0</v>
      </c>
      <c r="J231" s="8">
        <v>268.47</v>
      </c>
      <c r="K231" s="8">
        <v>44.16</v>
      </c>
      <c r="L231" s="27">
        <f t="shared" si="1"/>
        <v>58257.99</v>
      </c>
    </row>
    <row r="232">
      <c r="B232" s="6" t="s">
        <v>268</v>
      </c>
      <c r="C232" s="6" t="s">
        <v>26</v>
      </c>
      <c r="D232" s="6" t="s">
        <v>39</v>
      </c>
      <c r="E232" s="6" t="s">
        <v>32</v>
      </c>
      <c r="F232" s="6" t="s">
        <v>28</v>
      </c>
      <c r="G232" s="6" t="s">
        <v>18</v>
      </c>
      <c r="H232" s="7">
        <v>45153.0</v>
      </c>
      <c r="I232" s="8">
        <v>36.0</v>
      </c>
      <c r="J232" s="8">
        <v>292.56</v>
      </c>
      <c r="K232" s="8">
        <v>62.32</v>
      </c>
      <c r="L232" s="27">
        <f t="shared" si="1"/>
        <v>10532.16</v>
      </c>
    </row>
    <row r="233">
      <c r="B233" s="6" t="s">
        <v>269</v>
      </c>
      <c r="C233" s="6" t="s">
        <v>61</v>
      </c>
      <c r="D233" s="6" t="s">
        <v>63</v>
      </c>
      <c r="E233" s="6" t="s">
        <v>22</v>
      </c>
      <c r="F233" s="6" t="s">
        <v>28</v>
      </c>
      <c r="G233" s="6" t="s">
        <v>33</v>
      </c>
      <c r="H233" s="7">
        <v>45154.0</v>
      </c>
      <c r="I233" s="6"/>
      <c r="J233" s="8">
        <v>49.37</v>
      </c>
      <c r="K233" s="8">
        <v>39.32</v>
      </c>
      <c r="L233" s="27">
        <f t="shared" si="1"/>
        <v>0</v>
      </c>
    </row>
    <row r="234">
      <c r="B234" s="6" t="s">
        <v>270</v>
      </c>
      <c r="C234" s="6" t="s">
        <v>26</v>
      </c>
      <c r="D234" s="6" t="s">
        <v>15</v>
      </c>
      <c r="E234" s="6" t="s">
        <v>32</v>
      </c>
      <c r="F234" s="6" t="s">
        <v>17</v>
      </c>
      <c r="G234" s="6" t="s">
        <v>33</v>
      </c>
      <c r="H234" s="7">
        <v>45155.0</v>
      </c>
      <c r="I234" s="8">
        <v>69.0</v>
      </c>
      <c r="J234" s="8">
        <v>360.23</v>
      </c>
      <c r="K234" s="8">
        <v>231.71</v>
      </c>
      <c r="L234" s="27">
        <f t="shared" si="1"/>
        <v>24855.87</v>
      </c>
    </row>
    <row r="235">
      <c r="B235" s="6" t="s">
        <v>271</v>
      </c>
      <c r="C235" s="6" t="s">
        <v>26</v>
      </c>
      <c r="D235" s="6" t="s">
        <v>39</v>
      </c>
      <c r="E235" s="6" t="s">
        <v>16</v>
      </c>
      <c r="F235" s="6" t="s">
        <v>17</v>
      </c>
      <c r="G235" s="6" t="s">
        <v>33</v>
      </c>
      <c r="H235" s="7">
        <v>45156.0</v>
      </c>
      <c r="I235" s="8">
        <v>439.0</v>
      </c>
      <c r="J235" s="8">
        <v>202.95</v>
      </c>
      <c r="K235" s="8">
        <v>351.1</v>
      </c>
      <c r="L235" s="27">
        <f t="shared" si="1"/>
        <v>89095.05</v>
      </c>
    </row>
    <row r="236">
      <c r="B236" s="6" t="s">
        <v>272</v>
      </c>
      <c r="C236" s="6" t="s">
        <v>61</v>
      </c>
      <c r="D236" s="6" t="s">
        <v>21</v>
      </c>
      <c r="E236" s="6" t="s">
        <v>32</v>
      </c>
      <c r="F236" s="6" t="s">
        <v>17</v>
      </c>
      <c r="G236" s="6" t="s">
        <v>23</v>
      </c>
      <c r="H236" s="7">
        <v>45157.0</v>
      </c>
      <c r="I236" s="8">
        <v>482.0</v>
      </c>
      <c r="J236" s="8">
        <v>488.48</v>
      </c>
      <c r="K236" s="8">
        <v>174.65</v>
      </c>
      <c r="L236" s="27">
        <f t="shared" si="1"/>
        <v>235447.36</v>
      </c>
    </row>
    <row r="237">
      <c r="B237" s="6" t="s">
        <v>273</v>
      </c>
      <c r="C237" s="6" t="s">
        <v>20</v>
      </c>
      <c r="D237" s="6" t="s">
        <v>21</v>
      </c>
      <c r="E237" s="6" t="s">
        <v>27</v>
      </c>
      <c r="F237" s="6" t="s">
        <v>17</v>
      </c>
      <c r="G237" s="6" t="s">
        <v>23</v>
      </c>
      <c r="H237" s="7">
        <v>45158.0</v>
      </c>
      <c r="I237" s="8">
        <v>154.0</v>
      </c>
      <c r="J237" s="8">
        <v>412.47</v>
      </c>
      <c r="K237" s="8">
        <v>66.02</v>
      </c>
      <c r="L237" s="27">
        <f t="shared" si="1"/>
        <v>63520.38</v>
      </c>
    </row>
    <row r="238">
      <c r="B238" s="6" t="s">
        <v>274</v>
      </c>
      <c r="C238" s="6" t="s">
        <v>20</v>
      </c>
      <c r="D238" s="6" t="s">
        <v>31</v>
      </c>
      <c r="E238" s="6" t="s">
        <v>27</v>
      </c>
      <c r="F238" s="6" t="s">
        <v>28</v>
      </c>
      <c r="G238" s="6" t="s">
        <v>33</v>
      </c>
      <c r="H238" s="7">
        <v>45159.0</v>
      </c>
      <c r="I238" s="8">
        <v>102.0</v>
      </c>
      <c r="J238" s="8">
        <v>263.63</v>
      </c>
      <c r="K238" s="8">
        <v>224.1</v>
      </c>
      <c r="L238" s="27">
        <f t="shared" si="1"/>
        <v>26890.26</v>
      </c>
    </row>
    <row r="239">
      <c r="B239" s="6" t="s">
        <v>275</v>
      </c>
      <c r="C239" s="6" t="s">
        <v>20</v>
      </c>
      <c r="D239" s="6" t="s">
        <v>39</v>
      </c>
      <c r="E239" s="6" t="s">
        <v>27</v>
      </c>
      <c r="F239" s="6" t="s">
        <v>17</v>
      </c>
      <c r="G239" s="6" t="s">
        <v>33</v>
      </c>
      <c r="H239" s="7">
        <v>45160.0</v>
      </c>
      <c r="I239" s="8">
        <v>318.0</v>
      </c>
      <c r="J239" s="8">
        <v>66.0</v>
      </c>
      <c r="K239" s="8">
        <v>325.08</v>
      </c>
      <c r="L239" s="27">
        <f t="shared" si="1"/>
        <v>20988</v>
      </c>
    </row>
    <row r="240">
      <c r="B240" s="6" t="s">
        <v>276</v>
      </c>
      <c r="C240" s="6" t="s">
        <v>20</v>
      </c>
      <c r="D240" s="6" t="s">
        <v>15</v>
      </c>
      <c r="E240" s="6" t="s">
        <v>27</v>
      </c>
      <c r="F240" s="6" t="s">
        <v>17</v>
      </c>
      <c r="G240" s="6" t="s">
        <v>33</v>
      </c>
      <c r="H240" s="7">
        <v>45161.0</v>
      </c>
      <c r="I240" s="8">
        <v>17.0</v>
      </c>
      <c r="J240" s="8">
        <v>430.41</v>
      </c>
      <c r="K240" s="8">
        <v>297.2</v>
      </c>
      <c r="L240" s="27">
        <f t="shared" si="1"/>
        <v>7316.97</v>
      </c>
    </row>
    <row r="241">
      <c r="B241" s="6" t="s">
        <v>277</v>
      </c>
      <c r="C241" s="6" t="s">
        <v>20</v>
      </c>
      <c r="D241" s="6" t="s">
        <v>63</v>
      </c>
      <c r="E241" s="6" t="s">
        <v>22</v>
      </c>
      <c r="F241" s="6" t="s">
        <v>28</v>
      </c>
      <c r="G241" s="6" t="s">
        <v>23</v>
      </c>
      <c r="H241" s="7">
        <v>45162.0</v>
      </c>
      <c r="I241" s="8">
        <v>88.0</v>
      </c>
      <c r="J241" s="8">
        <v>400.89</v>
      </c>
      <c r="K241" s="8">
        <v>352.82</v>
      </c>
      <c r="L241" s="27">
        <f t="shared" si="1"/>
        <v>35278.32</v>
      </c>
    </row>
    <row r="242">
      <c r="B242" s="6" t="s">
        <v>278</v>
      </c>
      <c r="C242" s="6" t="s">
        <v>61</v>
      </c>
      <c r="D242" s="6" t="s">
        <v>63</v>
      </c>
      <c r="E242" s="6" t="s">
        <v>16</v>
      </c>
      <c r="F242" s="6" t="s">
        <v>28</v>
      </c>
      <c r="G242" s="6" t="s">
        <v>23</v>
      </c>
      <c r="H242" s="7">
        <v>45163.0</v>
      </c>
      <c r="I242" s="8">
        <v>36.0</v>
      </c>
      <c r="J242" s="8">
        <v>96.37</v>
      </c>
      <c r="K242" s="8">
        <v>112.61</v>
      </c>
      <c r="L242" s="27">
        <f t="shared" si="1"/>
        <v>3469.32</v>
      </c>
    </row>
    <row r="243">
      <c r="B243" s="6" t="s">
        <v>279</v>
      </c>
      <c r="C243" s="6" t="s">
        <v>61</v>
      </c>
      <c r="D243" s="6" t="s">
        <v>15</v>
      </c>
      <c r="E243" s="6" t="s">
        <v>32</v>
      </c>
      <c r="F243" s="6" t="s">
        <v>28</v>
      </c>
      <c r="G243" s="6" t="s">
        <v>18</v>
      </c>
      <c r="H243" s="7">
        <v>45164.0</v>
      </c>
      <c r="I243" s="8">
        <v>183.0</v>
      </c>
      <c r="J243" s="8">
        <v>151.16</v>
      </c>
      <c r="K243" s="8">
        <v>79.19</v>
      </c>
      <c r="L243" s="27">
        <f t="shared" si="1"/>
        <v>27662.28</v>
      </c>
    </row>
    <row r="244">
      <c r="B244" s="6" t="s">
        <v>280</v>
      </c>
      <c r="C244" s="6" t="s">
        <v>14</v>
      </c>
      <c r="D244" s="6" t="s">
        <v>31</v>
      </c>
      <c r="E244" s="6" t="s">
        <v>32</v>
      </c>
      <c r="F244" s="6" t="s">
        <v>28</v>
      </c>
      <c r="G244" s="6" t="s">
        <v>18</v>
      </c>
      <c r="H244" s="7">
        <v>45165.0</v>
      </c>
      <c r="I244" s="8">
        <v>59.0</v>
      </c>
      <c r="J244" s="8">
        <v>397.74</v>
      </c>
      <c r="K244" s="8">
        <v>352.17</v>
      </c>
      <c r="L244" s="27">
        <f t="shared" si="1"/>
        <v>23466.66</v>
      </c>
    </row>
    <row r="245">
      <c r="B245" s="6" t="s">
        <v>281</v>
      </c>
      <c r="C245" s="6" t="s">
        <v>20</v>
      </c>
      <c r="D245" s="6" t="s">
        <v>63</v>
      </c>
      <c r="E245" s="6" t="s">
        <v>27</v>
      </c>
      <c r="F245" s="6" t="s">
        <v>17</v>
      </c>
      <c r="G245" s="6" t="s">
        <v>33</v>
      </c>
      <c r="H245" s="7">
        <v>45166.0</v>
      </c>
      <c r="I245" s="8">
        <v>208.0</v>
      </c>
      <c r="J245" s="8">
        <v>96.69</v>
      </c>
      <c r="K245" s="8">
        <v>263.71</v>
      </c>
      <c r="L245" s="27">
        <f t="shared" si="1"/>
        <v>20111.52</v>
      </c>
    </row>
    <row r="246">
      <c r="B246" s="6" t="s">
        <v>282</v>
      </c>
      <c r="C246" s="6" t="s">
        <v>61</v>
      </c>
      <c r="D246" s="6" t="s">
        <v>39</v>
      </c>
      <c r="E246" s="6" t="s">
        <v>27</v>
      </c>
      <c r="F246" s="6" t="s">
        <v>17</v>
      </c>
      <c r="G246" s="6" t="s">
        <v>23</v>
      </c>
      <c r="H246" s="7">
        <v>45167.0</v>
      </c>
      <c r="I246" s="8">
        <v>396.0</v>
      </c>
      <c r="J246" s="8">
        <v>459.29</v>
      </c>
      <c r="K246" s="8">
        <v>125.75</v>
      </c>
      <c r="L246" s="27">
        <f t="shared" si="1"/>
        <v>181878.84</v>
      </c>
    </row>
    <row r="247">
      <c r="B247" s="6" t="s">
        <v>283</v>
      </c>
      <c r="C247" s="6" t="s">
        <v>14</v>
      </c>
      <c r="D247" s="6" t="s">
        <v>31</v>
      </c>
      <c r="E247" s="6" t="s">
        <v>55</v>
      </c>
      <c r="F247" s="6" t="s">
        <v>28</v>
      </c>
      <c r="G247" s="6" t="s">
        <v>23</v>
      </c>
      <c r="H247" s="7">
        <v>45168.0</v>
      </c>
      <c r="I247" s="8">
        <v>358.0</v>
      </c>
      <c r="J247" s="8">
        <v>215.14</v>
      </c>
      <c r="K247" s="8">
        <v>297.45</v>
      </c>
      <c r="L247" s="27">
        <f t="shared" si="1"/>
        <v>77020.12</v>
      </c>
    </row>
    <row r="248">
      <c r="B248" s="6" t="s">
        <v>284</v>
      </c>
      <c r="C248" s="6" t="s">
        <v>20</v>
      </c>
      <c r="D248" s="6" t="s">
        <v>39</v>
      </c>
      <c r="E248" s="6" t="s">
        <v>16</v>
      </c>
      <c r="F248" s="6" t="s">
        <v>17</v>
      </c>
      <c r="G248" s="6" t="s">
        <v>23</v>
      </c>
      <c r="H248" s="7">
        <v>45169.0</v>
      </c>
      <c r="I248" s="8">
        <v>457.0</v>
      </c>
      <c r="J248" s="8">
        <v>48.08</v>
      </c>
      <c r="K248" s="8">
        <v>326.42</v>
      </c>
      <c r="L248" s="27">
        <f t="shared" si="1"/>
        <v>21972.56</v>
      </c>
    </row>
    <row r="249">
      <c r="B249" s="6" t="s">
        <v>285</v>
      </c>
      <c r="C249" s="6" t="s">
        <v>26</v>
      </c>
      <c r="D249" s="6" t="s">
        <v>21</v>
      </c>
      <c r="E249" s="6" t="s">
        <v>22</v>
      </c>
      <c r="F249" s="6" t="s">
        <v>17</v>
      </c>
      <c r="G249" s="6" t="s">
        <v>33</v>
      </c>
      <c r="H249" s="7">
        <v>45170.0</v>
      </c>
      <c r="I249" s="8">
        <v>437.0</v>
      </c>
      <c r="J249" s="8">
        <v>408.8</v>
      </c>
      <c r="K249" s="8">
        <v>246.76</v>
      </c>
      <c r="L249" s="27">
        <f t="shared" si="1"/>
        <v>178645.6</v>
      </c>
    </row>
    <row r="250">
      <c r="B250" s="6" t="s">
        <v>286</v>
      </c>
      <c r="C250" s="6" t="s">
        <v>14</v>
      </c>
      <c r="D250" s="6" t="s">
        <v>31</v>
      </c>
      <c r="E250" s="6" t="s">
        <v>32</v>
      </c>
      <c r="F250" s="6" t="s">
        <v>17</v>
      </c>
      <c r="G250" s="6" t="s">
        <v>18</v>
      </c>
      <c r="H250" s="7">
        <v>45171.0</v>
      </c>
      <c r="I250" s="8">
        <v>190.0</v>
      </c>
      <c r="J250" s="8">
        <v>189.89</v>
      </c>
      <c r="K250" s="8">
        <v>275.78</v>
      </c>
      <c r="L250" s="27">
        <f t="shared" si="1"/>
        <v>36079.1</v>
      </c>
    </row>
    <row r="251">
      <c r="B251" s="6" t="s">
        <v>287</v>
      </c>
      <c r="C251" s="6" t="s">
        <v>61</v>
      </c>
      <c r="D251" s="6" t="s">
        <v>63</v>
      </c>
      <c r="E251" s="6" t="s">
        <v>55</v>
      </c>
      <c r="F251" s="6" t="s">
        <v>28</v>
      </c>
      <c r="G251" s="6" t="s">
        <v>33</v>
      </c>
      <c r="H251" s="7">
        <v>45172.0</v>
      </c>
      <c r="I251" s="8">
        <v>33.0</v>
      </c>
      <c r="J251" s="8">
        <v>265.62</v>
      </c>
      <c r="K251" s="8">
        <v>151.35</v>
      </c>
      <c r="L251" s="27">
        <f t="shared" si="1"/>
        <v>8765.46</v>
      </c>
    </row>
    <row r="252">
      <c r="B252" s="6" t="s">
        <v>288</v>
      </c>
      <c r="C252" s="6" t="s">
        <v>26</v>
      </c>
      <c r="D252" s="6" t="s">
        <v>31</v>
      </c>
      <c r="E252" s="6" t="s">
        <v>55</v>
      </c>
      <c r="F252" s="6" t="s">
        <v>17</v>
      </c>
      <c r="G252" s="6" t="s">
        <v>18</v>
      </c>
      <c r="H252" s="7">
        <v>45173.0</v>
      </c>
      <c r="I252" s="8">
        <v>325.0</v>
      </c>
      <c r="J252" s="8">
        <v>60.59</v>
      </c>
      <c r="K252" s="8">
        <v>216.4</v>
      </c>
      <c r="L252" s="27">
        <f t="shared" si="1"/>
        <v>19691.75</v>
      </c>
    </row>
    <row r="253">
      <c r="B253" s="6" t="s">
        <v>289</v>
      </c>
      <c r="C253" s="6" t="s">
        <v>26</v>
      </c>
      <c r="D253" s="6" t="s">
        <v>31</v>
      </c>
      <c r="E253" s="6" t="s">
        <v>32</v>
      </c>
      <c r="F253" s="6" t="s">
        <v>28</v>
      </c>
      <c r="G253" s="6" t="s">
        <v>18</v>
      </c>
      <c r="H253" s="7">
        <v>45174.0</v>
      </c>
      <c r="I253" s="8">
        <v>387.0</v>
      </c>
      <c r="J253" s="8">
        <v>6.28</v>
      </c>
      <c r="K253" s="8">
        <v>210.62</v>
      </c>
      <c r="L253" s="27">
        <f t="shared" si="1"/>
        <v>2430.36</v>
      </c>
    </row>
    <row r="254">
      <c r="B254" s="6" t="s">
        <v>290</v>
      </c>
      <c r="C254" s="6" t="s">
        <v>26</v>
      </c>
      <c r="D254" s="6" t="s">
        <v>31</v>
      </c>
      <c r="E254" s="6" t="s">
        <v>22</v>
      </c>
      <c r="F254" s="6" t="s">
        <v>17</v>
      </c>
      <c r="G254" s="6" t="s">
        <v>33</v>
      </c>
      <c r="H254" s="7">
        <v>45175.0</v>
      </c>
      <c r="I254" s="8">
        <v>396.0</v>
      </c>
      <c r="J254" s="8">
        <v>320.8</v>
      </c>
      <c r="K254" s="8">
        <v>339.52</v>
      </c>
      <c r="L254" s="27">
        <f t="shared" si="1"/>
        <v>127036.8</v>
      </c>
    </row>
    <row r="255">
      <c r="B255" s="6" t="s">
        <v>291</v>
      </c>
      <c r="C255" s="6" t="s">
        <v>14</v>
      </c>
      <c r="D255" s="6" t="s">
        <v>31</v>
      </c>
      <c r="E255" s="6" t="s">
        <v>55</v>
      </c>
      <c r="F255" s="6" t="s">
        <v>17</v>
      </c>
      <c r="G255" s="6" t="s">
        <v>18</v>
      </c>
      <c r="H255" s="7">
        <v>45176.0</v>
      </c>
      <c r="I255" s="8">
        <v>413.0</v>
      </c>
      <c r="J255" s="8">
        <v>260.01</v>
      </c>
      <c r="K255" s="8">
        <v>336.31</v>
      </c>
      <c r="L255" s="27">
        <f t="shared" si="1"/>
        <v>107384.13</v>
      </c>
    </row>
    <row r="256">
      <c r="B256" s="6" t="s">
        <v>292</v>
      </c>
      <c r="C256" s="6" t="s">
        <v>61</v>
      </c>
      <c r="D256" s="6" t="s">
        <v>39</v>
      </c>
      <c r="E256" s="6" t="s">
        <v>55</v>
      </c>
      <c r="F256" s="6" t="s">
        <v>17</v>
      </c>
      <c r="G256" s="6" t="s">
        <v>18</v>
      </c>
      <c r="H256" s="7">
        <v>45177.0</v>
      </c>
      <c r="I256" s="6"/>
      <c r="J256" s="8">
        <v>298.8</v>
      </c>
      <c r="K256" s="8">
        <v>333.41</v>
      </c>
      <c r="L256" s="27">
        <f t="shared" si="1"/>
        <v>0</v>
      </c>
    </row>
    <row r="257">
      <c r="B257" s="6" t="s">
        <v>293</v>
      </c>
      <c r="C257" s="6" t="s">
        <v>26</v>
      </c>
      <c r="D257" s="6" t="s">
        <v>21</v>
      </c>
      <c r="E257" s="6" t="s">
        <v>16</v>
      </c>
      <c r="F257" s="6" t="s">
        <v>28</v>
      </c>
      <c r="G257" s="6" t="s">
        <v>23</v>
      </c>
      <c r="H257" s="7">
        <v>45178.0</v>
      </c>
      <c r="I257" s="8">
        <v>24.0</v>
      </c>
      <c r="J257" s="8">
        <v>397.9</v>
      </c>
      <c r="K257" s="8">
        <v>6.39</v>
      </c>
      <c r="L257" s="27">
        <f t="shared" si="1"/>
        <v>9549.6</v>
      </c>
    </row>
    <row r="258">
      <c r="B258" s="6" t="s">
        <v>294</v>
      </c>
      <c r="C258" s="6" t="s">
        <v>20</v>
      </c>
      <c r="D258" s="6" t="s">
        <v>15</v>
      </c>
      <c r="E258" s="6"/>
      <c r="F258" s="6" t="s">
        <v>17</v>
      </c>
      <c r="G258" s="6" t="s">
        <v>18</v>
      </c>
      <c r="H258" s="7">
        <v>45179.0</v>
      </c>
      <c r="I258" s="8">
        <v>162.0</v>
      </c>
      <c r="J258" s="8">
        <v>325.07</v>
      </c>
      <c r="K258" s="8">
        <v>300.32</v>
      </c>
      <c r="L258" s="27">
        <f t="shared" si="1"/>
        <v>52661.34</v>
      </c>
    </row>
    <row r="259">
      <c r="B259" s="6" t="s">
        <v>295</v>
      </c>
      <c r="C259" s="6" t="s">
        <v>26</v>
      </c>
      <c r="D259" s="6" t="s">
        <v>31</v>
      </c>
      <c r="E259" s="6" t="s">
        <v>55</v>
      </c>
      <c r="F259" s="6" t="s">
        <v>28</v>
      </c>
      <c r="G259" s="6" t="s">
        <v>33</v>
      </c>
      <c r="H259" s="7">
        <v>45180.0</v>
      </c>
      <c r="I259" s="8">
        <v>231.0</v>
      </c>
      <c r="J259" s="8">
        <v>91.51</v>
      </c>
      <c r="K259" s="8">
        <v>303.95</v>
      </c>
      <c r="L259" s="27">
        <f t="shared" si="1"/>
        <v>21138.81</v>
      </c>
    </row>
    <row r="260">
      <c r="B260" s="6" t="s">
        <v>296</v>
      </c>
      <c r="C260" s="6" t="s">
        <v>26</v>
      </c>
      <c r="D260" s="6" t="s">
        <v>63</v>
      </c>
      <c r="E260" s="6" t="s">
        <v>22</v>
      </c>
      <c r="F260" s="6" t="s">
        <v>28</v>
      </c>
      <c r="G260" s="6" t="s">
        <v>33</v>
      </c>
      <c r="H260" s="7">
        <v>45181.0</v>
      </c>
      <c r="I260" s="8">
        <v>215.0</v>
      </c>
      <c r="J260" s="8">
        <v>183.58</v>
      </c>
      <c r="K260" s="8">
        <v>271.99</v>
      </c>
      <c r="L260" s="27">
        <f t="shared" si="1"/>
        <v>39469.7</v>
      </c>
    </row>
    <row r="261">
      <c r="B261" s="6" t="s">
        <v>297</v>
      </c>
      <c r="C261" s="6" t="s">
        <v>14</v>
      </c>
      <c r="D261" s="6" t="s">
        <v>31</v>
      </c>
      <c r="E261" s="6" t="s">
        <v>32</v>
      </c>
      <c r="F261" s="6" t="s">
        <v>28</v>
      </c>
      <c r="G261" s="6" t="s">
        <v>18</v>
      </c>
      <c r="H261" s="7">
        <v>45182.0</v>
      </c>
      <c r="I261" s="8">
        <v>464.0</v>
      </c>
      <c r="J261" s="8">
        <v>453.42</v>
      </c>
      <c r="K261" s="8">
        <v>302.99</v>
      </c>
      <c r="L261" s="27">
        <f t="shared" si="1"/>
        <v>210386.88</v>
      </c>
    </row>
    <row r="262">
      <c r="B262" s="6" t="s">
        <v>298</v>
      </c>
      <c r="C262" s="6" t="s">
        <v>14</v>
      </c>
      <c r="D262" s="6" t="s">
        <v>63</v>
      </c>
      <c r="E262" s="6" t="s">
        <v>27</v>
      </c>
      <c r="F262" s="6" t="s">
        <v>17</v>
      </c>
      <c r="G262" s="6" t="s">
        <v>23</v>
      </c>
      <c r="H262" s="7">
        <v>45183.0</v>
      </c>
      <c r="I262" s="8">
        <v>282.0</v>
      </c>
      <c r="J262" s="6"/>
      <c r="K262" s="8">
        <v>337.1</v>
      </c>
      <c r="L262" s="27">
        <f t="shared" si="1"/>
        <v>0</v>
      </c>
    </row>
    <row r="263">
      <c r="B263" s="6" t="s">
        <v>299</v>
      </c>
      <c r="C263" s="6" t="s">
        <v>61</v>
      </c>
      <c r="D263" s="6" t="s">
        <v>39</v>
      </c>
      <c r="E263" s="6" t="s">
        <v>55</v>
      </c>
      <c r="F263" s="6" t="s">
        <v>17</v>
      </c>
      <c r="G263" s="6" t="s">
        <v>23</v>
      </c>
      <c r="H263" s="7">
        <v>45184.0</v>
      </c>
      <c r="I263" s="8">
        <v>391.0</v>
      </c>
      <c r="J263" s="8">
        <v>280.54</v>
      </c>
      <c r="K263" s="8">
        <v>189.19</v>
      </c>
      <c r="L263" s="27">
        <f t="shared" si="1"/>
        <v>109691.14</v>
      </c>
    </row>
    <row r="264">
      <c r="B264" s="6" t="s">
        <v>300</v>
      </c>
      <c r="C264" s="6" t="s">
        <v>20</v>
      </c>
      <c r="D264" s="6" t="s">
        <v>63</v>
      </c>
      <c r="E264" s="6" t="s">
        <v>16</v>
      </c>
      <c r="F264" s="6" t="s">
        <v>17</v>
      </c>
      <c r="G264" s="6" t="s">
        <v>18</v>
      </c>
      <c r="H264" s="7">
        <v>45185.0</v>
      </c>
      <c r="I264" s="8">
        <v>245.0</v>
      </c>
      <c r="J264" s="8">
        <v>131.54</v>
      </c>
      <c r="K264" s="8">
        <v>201.82</v>
      </c>
      <c r="L264" s="27">
        <f t="shared" si="1"/>
        <v>32227.3</v>
      </c>
    </row>
    <row r="265">
      <c r="B265" s="6" t="s">
        <v>301</v>
      </c>
      <c r="C265" s="6" t="s">
        <v>14</v>
      </c>
      <c r="D265" s="6" t="s">
        <v>15</v>
      </c>
      <c r="E265" s="6" t="s">
        <v>32</v>
      </c>
      <c r="F265" s="6" t="s">
        <v>17</v>
      </c>
      <c r="G265" s="6" t="s">
        <v>18</v>
      </c>
      <c r="H265" s="7">
        <v>45186.0</v>
      </c>
      <c r="I265" s="8">
        <v>349.0</v>
      </c>
      <c r="J265" s="8">
        <v>154.52</v>
      </c>
      <c r="K265" s="8">
        <v>51.64</v>
      </c>
      <c r="L265" s="27">
        <f t="shared" si="1"/>
        <v>53927.48</v>
      </c>
    </row>
    <row r="266">
      <c r="B266" s="6" t="s">
        <v>302</v>
      </c>
      <c r="C266" s="6" t="s">
        <v>26</v>
      </c>
      <c r="D266" s="6" t="s">
        <v>21</v>
      </c>
      <c r="E266" s="6" t="s">
        <v>22</v>
      </c>
      <c r="F266" s="6" t="s">
        <v>28</v>
      </c>
      <c r="G266" s="6" t="s">
        <v>33</v>
      </c>
      <c r="H266" s="7">
        <v>45187.0</v>
      </c>
      <c r="I266" s="8">
        <v>237.0</v>
      </c>
      <c r="J266" s="6"/>
      <c r="K266" s="8">
        <v>155.38</v>
      </c>
      <c r="L266" s="27">
        <f t="shared" si="1"/>
        <v>0</v>
      </c>
    </row>
    <row r="267">
      <c r="B267" s="6" t="s">
        <v>303</v>
      </c>
      <c r="C267" s="6" t="s">
        <v>61</v>
      </c>
      <c r="D267" s="6" t="s">
        <v>63</v>
      </c>
      <c r="E267" s="6" t="s">
        <v>32</v>
      </c>
      <c r="F267" s="6" t="s">
        <v>28</v>
      </c>
      <c r="G267" s="6" t="s">
        <v>18</v>
      </c>
      <c r="H267" s="7">
        <v>45188.0</v>
      </c>
      <c r="I267" s="8">
        <v>18.0</v>
      </c>
      <c r="J267" s="8">
        <v>426.33</v>
      </c>
      <c r="K267" s="8">
        <v>258.06</v>
      </c>
      <c r="L267" s="27">
        <f t="shared" si="1"/>
        <v>7673.94</v>
      </c>
    </row>
    <row r="268">
      <c r="B268" s="6" t="s">
        <v>304</v>
      </c>
      <c r="C268" s="6" t="s">
        <v>26</v>
      </c>
      <c r="D268" s="6" t="s">
        <v>63</v>
      </c>
      <c r="E268" s="6" t="s">
        <v>55</v>
      </c>
      <c r="F268" s="6" t="s">
        <v>28</v>
      </c>
      <c r="G268" s="6" t="s">
        <v>23</v>
      </c>
      <c r="H268" s="7">
        <v>45189.0</v>
      </c>
      <c r="I268" s="8">
        <v>175.0</v>
      </c>
      <c r="J268" s="8">
        <v>337.36</v>
      </c>
      <c r="K268" s="8">
        <v>312.6</v>
      </c>
      <c r="L268" s="27">
        <f t="shared" si="1"/>
        <v>59038</v>
      </c>
    </row>
    <row r="269">
      <c r="B269" s="6" t="s">
        <v>305</v>
      </c>
      <c r="C269" s="6" t="s">
        <v>26</v>
      </c>
      <c r="D269" s="6" t="s">
        <v>21</v>
      </c>
      <c r="E269" s="6"/>
      <c r="F269" s="6" t="s">
        <v>17</v>
      </c>
      <c r="G269" s="6" t="s">
        <v>18</v>
      </c>
      <c r="H269" s="7">
        <v>45190.0</v>
      </c>
      <c r="I269" s="8">
        <v>441.0</v>
      </c>
      <c r="J269" s="8">
        <v>405.72</v>
      </c>
      <c r="K269" s="8">
        <v>88.45</v>
      </c>
      <c r="L269" s="27">
        <f t="shared" si="1"/>
        <v>178922.52</v>
      </c>
    </row>
    <row r="270">
      <c r="B270" s="6" t="s">
        <v>306</v>
      </c>
      <c r="C270" s="6" t="s">
        <v>14</v>
      </c>
      <c r="D270" s="6" t="s">
        <v>15</v>
      </c>
      <c r="E270" s="6" t="s">
        <v>27</v>
      </c>
      <c r="F270" s="6" t="s">
        <v>28</v>
      </c>
      <c r="G270" s="6" t="s">
        <v>33</v>
      </c>
      <c r="H270" s="7">
        <v>45191.0</v>
      </c>
      <c r="I270" s="8">
        <v>453.0</v>
      </c>
      <c r="J270" s="8">
        <v>384.49</v>
      </c>
      <c r="K270" s="8">
        <v>56.85</v>
      </c>
      <c r="L270" s="27">
        <f t="shared" si="1"/>
        <v>174173.97</v>
      </c>
    </row>
    <row r="271">
      <c r="B271" s="6" t="s">
        <v>307</v>
      </c>
      <c r="C271" s="6" t="s">
        <v>61</v>
      </c>
      <c r="D271" s="6" t="s">
        <v>31</v>
      </c>
      <c r="E271" s="6" t="s">
        <v>32</v>
      </c>
      <c r="F271" s="6" t="s">
        <v>17</v>
      </c>
      <c r="G271" s="6" t="s">
        <v>33</v>
      </c>
      <c r="H271" s="7">
        <v>45192.0</v>
      </c>
      <c r="I271" s="8">
        <v>328.0</v>
      </c>
      <c r="J271" s="8">
        <v>79.1</v>
      </c>
      <c r="K271" s="8">
        <v>265.89</v>
      </c>
      <c r="L271" s="27">
        <f t="shared" si="1"/>
        <v>25944.8</v>
      </c>
    </row>
    <row r="272">
      <c r="B272" s="6" t="s">
        <v>308</v>
      </c>
      <c r="C272" s="6" t="s">
        <v>20</v>
      </c>
      <c r="D272" s="6" t="s">
        <v>63</v>
      </c>
      <c r="E272" s="6" t="s">
        <v>55</v>
      </c>
      <c r="F272" s="6" t="s">
        <v>28</v>
      </c>
      <c r="G272" s="6" t="s">
        <v>33</v>
      </c>
      <c r="H272" s="7">
        <v>45193.0</v>
      </c>
      <c r="I272" s="8">
        <v>223.0</v>
      </c>
      <c r="J272" s="8">
        <v>214.85</v>
      </c>
      <c r="K272" s="8">
        <v>2.75</v>
      </c>
      <c r="L272" s="27">
        <f t="shared" si="1"/>
        <v>47911.55</v>
      </c>
    </row>
    <row r="273">
      <c r="B273" s="6" t="s">
        <v>309</v>
      </c>
      <c r="C273" s="6" t="s">
        <v>20</v>
      </c>
      <c r="D273" s="6" t="s">
        <v>21</v>
      </c>
      <c r="E273" s="6" t="s">
        <v>16</v>
      </c>
      <c r="F273" s="6" t="s">
        <v>17</v>
      </c>
      <c r="G273" s="6" t="s">
        <v>33</v>
      </c>
      <c r="H273" s="7">
        <v>45194.0</v>
      </c>
      <c r="I273" s="8">
        <v>126.0</v>
      </c>
      <c r="J273" s="8">
        <v>80.73</v>
      </c>
      <c r="K273" s="8">
        <v>72.99</v>
      </c>
      <c r="L273" s="27">
        <f t="shared" si="1"/>
        <v>10171.98</v>
      </c>
    </row>
    <row r="274">
      <c r="B274" s="6" t="s">
        <v>310</v>
      </c>
      <c r="C274" s="6" t="s">
        <v>14</v>
      </c>
      <c r="D274" s="6" t="s">
        <v>39</v>
      </c>
      <c r="E274" s="6" t="s">
        <v>22</v>
      </c>
      <c r="F274" s="6" t="s">
        <v>17</v>
      </c>
      <c r="G274" s="6" t="s">
        <v>33</v>
      </c>
      <c r="H274" s="7">
        <v>45195.0</v>
      </c>
      <c r="I274" s="8">
        <v>395.0</v>
      </c>
      <c r="J274" s="8">
        <v>121.44</v>
      </c>
      <c r="K274" s="8">
        <v>13.57</v>
      </c>
      <c r="L274" s="27">
        <f t="shared" si="1"/>
        <v>47968.8</v>
      </c>
    </row>
    <row r="275">
      <c r="B275" s="6" t="s">
        <v>311</v>
      </c>
      <c r="C275" s="6" t="s">
        <v>14</v>
      </c>
      <c r="D275" s="6" t="s">
        <v>21</v>
      </c>
      <c r="E275" s="6" t="s">
        <v>32</v>
      </c>
      <c r="F275" s="6" t="s">
        <v>28</v>
      </c>
      <c r="G275" s="6" t="s">
        <v>18</v>
      </c>
      <c r="H275" s="7">
        <v>45196.0</v>
      </c>
      <c r="I275" s="8">
        <v>353.0</v>
      </c>
      <c r="J275" s="8">
        <v>435.28</v>
      </c>
      <c r="K275" s="8">
        <v>68.42</v>
      </c>
      <c r="L275" s="27">
        <f t="shared" si="1"/>
        <v>153653.84</v>
      </c>
    </row>
    <row r="276">
      <c r="B276" s="6" t="s">
        <v>312</v>
      </c>
      <c r="C276" s="6" t="s">
        <v>61</v>
      </c>
      <c r="D276" s="6" t="s">
        <v>39</v>
      </c>
      <c r="E276" s="6" t="s">
        <v>32</v>
      </c>
      <c r="F276" s="6" t="s">
        <v>28</v>
      </c>
      <c r="G276" s="6" t="s">
        <v>18</v>
      </c>
      <c r="H276" s="7">
        <v>45197.0</v>
      </c>
      <c r="I276" s="8">
        <v>81.0</v>
      </c>
      <c r="J276" s="8">
        <v>239.08</v>
      </c>
      <c r="K276" s="8">
        <v>74.17</v>
      </c>
      <c r="L276" s="27">
        <f t="shared" si="1"/>
        <v>19365.48</v>
      </c>
    </row>
    <row r="277">
      <c r="B277" s="6" t="s">
        <v>313</v>
      </c>
      <c r="C277" s="6" t="s">
        <v>20</v>
      </c>
      <c r="D277" s="6" t="s">
        <v>15</v>
      </c>
      <c r="E277" s="6" t="s">
        <v>27</v>
      </c>
      <c r="F277" s="6" t="s">
        <v>28</v>
      </c>
      <c r="G277" s="6" t="s">
        <v>18</v>
      </c>
      <c r="H277" s="7">
        <v>45198.0</v>
      </c>
      <c r="I277" s="8">
        <v>404.0</v>
      </c>
      <c r="J277" s="8">
        <v>270.0</v>
      </c>
      <c r="K277" s="8">
        <v>156.29</v>
      </c>
      <c r="L277" s="27">
        <f t="shared" si="1"/>
        <v>109080</v>
      </c>
    </row>
    <row r="278">
      <c r="B278" s="6" t="s">
        <v>314</v>
      </c>
      <c r="C278" s="6" t="s">
        <v>20</v>
      </c>
      <c r="D278" s="6" t="s">
        <v>31</v>
      </c>
      <c r="E278" s="6" t="s">
        <v>27</v>
      </c>
      <c r="F278" s="6" t="s">
        <v>28</v>
      </c>
      <c r="G278" s="6" t="s">
        <v>18</v>
      </c>
      <c r="H278" s="7">
        <v>45199.0</v>
      </c>
      <c r="I278" s="8">
        <v>73.0</v>
      </c>
      <c r="J278" s="8">
        <v>93.33</v>
      </c>
      <c r="K278" s="8">
        <v>162.13</v>
      </c>
      <c r="L278" s="27">
        <f t="shared" si="1"/>
        <v>6813.09</v>
      </c>
    </row>
    <row r="279">
      <c r="B279" s="6" t="s">
        <v>315</v>
      </c>
      <c r="C279" s="6" t="s">
        <v>20</v>
      </c>
      <c r="D279" s="6" t="s">
        <v>21</v>
      </c>
      <c r="E279" s="6" t="s">
        <v>16</v>
      </c>
      <c r="F279" s="6" t="s">
        <v>17</v>
      </c>
      <c r="G279" s="6" t="s">
        <v>33</v>
      </c>
      <c r="H279" s="7">
        <v>45200.0</v>
      </c>
      <c r="I279" s="8">
        <v>214.0</v>
      </c>
      <c r="J279" s="8">
        <v>159.57</v>
      </c>
      <c r="K279" s="8">
        <v>349.96</v>
      </c>
      <c r="L279" s="27">
        <f t="shared" si="1"/>
        <v>34147.98</v>
      </c>
    </row>
    <row r="280">
      <c r="B280" s="6" t="s">
        <v>316</v>
      </c>
      <c r="C280" s="6" t="s">
        <v>26</v>
      </c>
      <c r="D280" s="6" t="s">
        <v>63</v>
      </c>
      <c r="E280" s="6" t="s">
        <v>16</v>
      </c>
      <c r="F280" s="6" t="s">
        <v>28</v>
      </c>
      <c r="G280" s="6" t="s">
        <v>23</v>
      </c>
      <c r="H280" s="7">
        <v>45201.0</v>
      </c>
      <c r="I280" s="8">
        <v>218.0</v>
      </c>
      <c r="J280" s="8">
        <v>118.97</v>
      </c>
      <c r="K280" s="8">
        <v>205.02</v>
      </c>
      <c r="L280" s="27">
        <f t="shared" si="1"/>
        <v>25935.46</v>
      </c>
    </row>
    <row r="281">
      <c r="B281" s="6" t="s">
        <v>317</v>
      </c>
      <c r="C281" s="6" t="s">
        <v>20</v>
      </c>
      <c r="D281" s="6" t="s">
        <v>15</v>
      </c>
      <c r="E281" s="6" t="s">
        <v>55</v>
      </c>
      <c r="F281" s="6" t="s">
        <v>28</v>
      </c>
      <c r="G281" s="6" t="s">
        <v>18</v>
      </c>
      <c r="H281" s="7">
        <v>45202.0</v>
      </c>
      <c r="I281" s="8">
        <v>81.0</v>
      </c>
      <c r="J281" s="8">
        <v>107.06</v>
      </c>
      <c r="K281" s="8">
        <v>289.92</v>
      </c>
      <c r="L281" s="27">
        <f t="shared" si="1"/>
        <v>8671.86</v>
      </c>
    </row>
    <row r="282">
      <c r="B282" s="6" t="s">
        <v>318</v>
      </c>
      <c r="C282" s="6" t="s">
        <v>26</v>
      </c>
      <c r="D282" s="6" t="s">
        <v>21</v>
      </c>
      <c r="E282" s="6" t="s">
        <v>55</v>
      </c>
      <c r="F282" s="6" t="s">
        <v>28</v>
      </c>
      <c r="G282" s="6" t="s">
        <v>23</v>
      </c>
      <c r="H282" s="7">
        <v>45203.0</v>
      </c>
      <c r="I282" s="8">
        <v>286.0</v>
      </c>
      <c r="J282" s="8">
        <v>320.79</v>
      </c>
      <c r="K282" s="8">
        <v>43.45</v>
      </c>
      <c r="L282" s="27">
        <f t="shared" si="1"/>
        <v>91745.94</v>
      </c>
    </row>
    <row r="283">
      <c r="B283" s="6" t="s">
        <v>319</v>
      </c>
      <c r="C283" s="6" t="s">
        <v>61</v>
      </c>
      <c r="D283" s="6" t="s">
        <v>63</v>
      </c>
      <c r="E283" s="6" t="s">
        <v>16</v>
      </c>
      <c r="F283" s="6" t="s">
        <v>17</v>
      </c>
      <c r="G283" s="6" t="s">
        <v>18</v>
      </c>
      <c r="H283" s="7">
        <v>45204.0</v>
      </c>
      <c r="I283" s="8">
        <v>283.0</v>
      </c>
      <c r="J283" s="8">
        <v>132.16</v>
      </c>
      <c r="K283" s="8">
        <v>91.72</v>
      </c>
      <c r="L283" s="27">
        <f t="shared" si="1"/>
        <v>37401.28</v>
      </c>
    </row>
    <row r="284">
      <c r="B284" s="6" t="s">
        <v>320</v>
      </c>
      <c r="C284" s="6" t="s">
        <v>26</v>
      </c>
      <c r="D284" s="6" t="s">
        <v>21</v>
      </c>
      <c r="E284" s="6" t="s">
        <v>16</v>
      </c>
      <c r="F284" s="6" t="s">
        <v>17</v>
      </c>
      <c r="G284" s="6" t="s">
        <v>18</v>
      </c>
      <c r="H284" s="7">
        <v>45205.0</v>
      </c>
      <c r="I284" s="8">
        <v>487.0</v>
      </c>
      <c r="J284" s="8">
        <v>317.85</v>
      </c>
      <c r="K284" s="8">
        <v>281.77</v>
      </c>
      <c r="L284" s="27">
        <f t="shared" si="1"/>
        <v>154792.95</v>
      </c>
    </row>
    <row r="285">
      <c r="B285" s="6" t="s">
        <v>321</v>
      </c>
      <c r="C285" s="6" t="s">
        <v>61</v>
      </c>
      <c r="D285" s="6" t="s">
        <v>39</v>
      </c>
      <c r="E285" s="6" t="s">
        <v>22</v>
      </c>
      <c r="F285" s="6" t="s">
        <v>28</v>
      </c>
      <c r="G285" s="6" t="s">
        <v>23</v>
      </c>
      <c r="H285" s="7">
        <v>45206.0</v>
      </c>
      <c r="I285" s="8">
        <v>329.0</v>
      </c>
      <c r="J285" s="8">
        <v>33.94</v>
      </c>
      <c r="K285" s="8">
        <v>23.02</v>
      </c>
      <c r="L285" s="27">
        <f t="shared" si="1"/>
        <v>11166.26</v>
      </c>
    </row>
    <row r="286">
      <c r="B286" s="6" t="s">
        <v>322</v>
      </c>
      <c r="C286" s="6" t="s">
        <v>20</v>
      </c>
      <c r="D286" s="6" t="s">
        <v>21</v>
      </c>
      <c r="E286" s="6" t="s">
        <v>27</v>
      </c>
      <c r="F286" s="6" t="s">
        <v>17</v>
      </c>
      <c r="G286" s="6" t="s">
        <v>33</v>
      </c>
      <c r="H286" s="7">
        <v>45207.0</v>
      </c>
      <c r="I286" s="8">
        <v>347.0</v>
      </c>
      <c r="J286" s="8">
        <v>75.18</v>
      </c>
      <c r="K286" s="8">
        <v>195.67</v>
      </c>
      <c r="L286" s="27">
        <f t="shared" si="1"/>
        <v>26087.46</v>
      </c>
    </row>
    <row r="287">
      <c r="B287" s="6" t="s">
        <v>323</v>
      </c>
      <c r="C287" s="6" t="s">
        <v>20</v>
      </c>
      <c r="D287" s="6" t="s">
        <v>21</v>
      </c>
      <c r="E287" s="6" t="s">
        <v>55</v>
      </c>
      <c r="F287" s="6" t="s">
        <v>28</v>
      </c>
      <c r="G287" s="6" t="s">
        <v>18</v>
      </c>
      <c r="H287" s="7">
        <v>45208.0</v>
      </c>
      <c r="I287" s="8">
        <v>375.0</v>
      </c>
      <c r="J287" s="8">
        <v>140.9</v>
      </c>
      <c r="K287" s="8">
        <v>240.55</v>
      </c>
      <c r="L287" s="27">
        <f t="shared" si="1"/>
        <v>52837.5</v>
      </c>
    </row>
    <row r="288">
      <c r="B288" s="6" t="s">
        <v>324</v>
      </c>
      <c r="C288" s="6" t="s">
        <v>61</v>
      </c>
      <c r="D288" s="6" t="s">
        <v>21</v>
      </c>
      <c r="E288" s="6" t="s">
        <v>27</v>
      </c>
      <c r="F288" s="6" t="s">
        <v>17</v>
      </c>
      <c r="G288" s="6" t="s">
        <v>18</v>
      </c>
      <c r="H288" s="7">
        <v>45209.0</v>
      </c>
      <c r="I288" s="8">
        <v>104.0</v>
      </c>
      <c r="J288" s="8">
        <v>300.54</v>
      </c>
      <c r="K288" s="8">
        <v>241.65</v>
      </c>
      <c r="L288" s="27">
        <f t="shared" si="1"/>
        <v>31256.16</v>
      </c>
    </row>
    <row r="289">
      <c r="B289" s="6" t="s">
        <v>325</v>
      </c>
      <c r="C289" s="6" t="s">
        <v>14</v>
      </c>
      <c r="D289" s="6" t="s">
        <v>15</v>
      </c>
      <c r="E289" s="6"/>
      <c r="F289" s="6" t="s">
        <v>17</v>
      </c>
      <c r="G289" s="6" t="s">
        <v>18</v>
      </c>
      <c r="H289" s="7">
        <v>45210.0</v>
      </c>
      <c r="I289" s="8">
        <v>175.0</v>
      </c>
      <c r="J289" s="8">
        <v>339.54</v>
      </c>
      <c r="K289" s="8">
        <v>11.13</v>
      </c>
      <c r="L289" s="27">
        <f t="shared" si="1"/>
        <v>59419.5</v>
      </c>
    </row>
    <row r="290">
      <c r="B290" s="6" t="s">
        <v>326</v>
      </c>
      <c r="C290" s="6" t="s">
        <v>61</v>
      </c>
      <c r="D290" s="6" t="s">
        <v>21</v>
      </c>
      <c r="E290" s="6" t="s">
        <v>16</v>
      </c>
      <c r="F290" s="6" t="s">
        <v>17</v>
      </c>
      <c r="G290" s="6" t="s">
        <v>23</v>
      </c>
      <c r="H290" s="7">
        <v>45211.0</v>
      </c>
      <c r="I290" s="8">
        <v>41.0</v>
      </c>
      <c r="J290" s="8">
        <v>224.14</v>
      </c>
      <c r="K290" s="8">
        <v>130.2</v>
      </c>
      <c r="L290" s="27">
        <f t="shared" si="1"/>
        <v>9189.74</v>
      </c>
    </row>
    <row r="291">
      <c r="B291" s="6" t="s">
        <v>327</v>
      </c>
      <c r="C291" s="6" t="s">
        <v>14</v>
      </c>
      <c r="D291" s="6" t="s">
        <v>63</v>
      </c>
      <c r="E291" s="6" t="s">
        <v>22</v>
      </c>
      <c r="F291" s="6" t="s">
        <v>17</v>
      </c>
      <c r="G291" s="6" t="s">
        <v>33</v>
      </c>
      <c r="H291" s="7">
        <v>45212.0</v>
      </c>
      <c r="I291" s="8">
        <v>20.0</v>
      </c>
      <c r="J291" s="8">
        <v>225.67</v>
      </c>
      <c r="K291" s="8">
        <v>255.32</v>
      </c>
      <c r="L291" s="27">
        <f t="shared" si="1"/>
        <v>4513.4</v>
      </c>
    </row>
    <row r="292">
      <c r="B292" s="6" t="s">
        <v>328</v>
      </c>
      <c r="C292" s="6" t="s">
        <v>26</v>
      </c>
      <c r="D292" s="6" t="s">
        <v>39</v>
      </c>
      <c r="E292" s="6" t="s">
        <v>32</v>
      </c>
      <c r="F292" s="6" t="s">
        <v>28</v>
      </c>
      <c r="G292" s="6" t="s">
        <v>23</v>
      </c>
      <c r="H292" s="7">
        <v>45213.0</v>
      </c>
      <c r="I292" s="8">
        <v>310.0</v>
      </c>
      <c r="J292" s="8">
        <v>363.64</v>
      </c>
      <c r="K292" s="8">
        <v>61.3</v>
      </c>
      <c r="L292" s="27">
        <f t="shared" si="1"/>
        <v>112728.4</v>
      </c>
    </row>
    <row r="293">
      <c r="B293" s="6" t="s">
        <v>329</v>
      </c>
      <c r="C293" s="6" t="s">
        <v>26</v>
      </c>
      <c r="D293" s="6" t="s">
        <v>39</v>
      </c>
      <c r="E293" s="6" t="s">
        <v>22</v>
      </c>
      <c r="F293" s="6" t="s">
        <v>28</v>
      </c>
      <c r="G293" s="6" t="s">
        <v>23</v>
      </c>
      <c r="H293" s="7">
        <v>45214.0</v>
      </c>
      <c r="I293" s="8">
        <v>226.0</v>
      </c>
      <c r="J293" s="6"/>
      <c r="K293" s="8">
        <v>278.78</v>
      </c>
      <c r="L293" s="27">
        <f t="shared" si="1"/>
        <v>0</v>
      </c>
    </row>
    <row r="294">
      <c r="B294" s="6" t="s">
        <v>330</v>
      </c>
      <c r="C294" s="6" t="s">
        <v>26</v>
      </c>
      <c r="D294" s="6" t="s">
        <v>21</v>
      </c>
      <c r="E294" s="6" t="s">
        <v>22</v>
      </c>
      <c r="F294" s="6" t="s">
        <v>28</v>
      </c>
      <c r="G294" s="6" t="s">
        <v>33</v>
      </c>
      <c r="H294" s="7">
        <v>45215.0</v>
      </c>
      <c r="I294" s="6"/>
      <c r="J294" s="8">
        <v>173.84</v>
      </c>
      <c r="K294" s="8">
        <v>298.88</v>
      </c>
      <c r="L294" s="27">
        <f t="shared" si="1"/>
        <v>0</v>
      </c>
    </row>
    <row r="295">
      <c r="B295" s="6" t="s">
        <v>331</v>
      </c>
      <c r="C295" s="6" t="s">
        <v>20</v>
      </c>
      <c r="D295" s="6" t="s">
        <v>15</v>
      </c>
      <c r="E295" s="6" t="s">
        <v>27</v>
      </c>
      <c r="F295" s="6" t="s">
        <v>17</v>
      </c>
      <c r="G295" s="6" t="s">
        <v>23</v>
      </c>
      <c r="H295" s="7">
        <v>45216.0</v>
      </c>
      <c r="I295" s="8">
        <v>111.0</v>
      </c>
      <c r="J295" s="8">
        <v>410.26</v>
      </c>
      <c r="K295" s="8">
        <v>392.82</v>
      </c>
      <c r="L295" s="27">
        <f t="shared" si="1"/>
        <v>45538.86</v>
      </c>
    </row>
    <row r="296">
      <c r="B296" s="6" t="s">
        <v>332</v>
      </c>
      <c r="C296" s="6" t="s">
        <v>26</v>
      </c>
      <c r="D296" s="6" t="s">
        <v>15</v>
      </c>
      <c r="E296" s="6" t="s">
        <v>22</v>
      </c>
      <c r="F296" s="6" t="s">
        <v>28</v>
      </c>
      <c r="G296" s="6" t="s">
        <v>33</v>
      </c>
      <c r="H296" s="7">
        <v>45217.0</v>
      </c>
      <c r="I296" s="8">
        <v>434.0</v>
      </c>
      <c r="J296" s="8">
        <v>303.59</v>
      </c>
      <c r="K296" s="8">
        <v>85.52</v>
      </c>
      <c r="L296" s="27">
        <f t="shared" si="1"/>
        <v>131758.06</v>
      </c>
    </row>
    <row r="297">
      <c r="B297" s="6" t="s">
        <v>333</v>
      </c>
      <c r="C297" s="6" t="s">
        <v>14</v>
      </c>
      <c r="D297" s="6" t="s">
        <v>63</v>
      </c>
      <c r="E297" s="6" t="s">
        <v>55</v>
      </c>
      <c r="F297" s="6" t="s">
        <v>28</v>
      </c>
      <c r="G297" s="6" t="s">
        <v>18</v>
      </c>
      <c r="H297" s="7">
        <v>45218.0</v>
      </c>
      <c r="I297" s="8">
        <v>401.0</v>
      </c>
      <c r="J297" s="8">
        <v>171.93</v>
      </c>
      <c r="K297" s="8">
        <v>330.4</v>
      </c>
      <c r="L297" s="27">
        <f t="shared" si="1"/>
        <v>68943.93</v>
      </c>
    </row>
    <row r="298">
      <c r="B298" s="6" t="s">
        <v>334</v>
      </c>
      <c r="C298" s="6" t="s">
        <v>26</v>
      </c>
      <c r="D298" s="6" t="s">
        <v>21</v>
      </c>
      <c r="E298" s="6" t="s">
        <v>27</v>
      </c>
      <c r="F298" s="6" t="s">
        <v>28</v>
      </c>
      <c r="G298" s="6" t="s">
        <v>33</v>
      </c>
      <c r="H298" s="7">
        <v>45219.0</v>
      </c>
      <c r="I298" s="8">
        <v>276.0</v>
      </c>
      <c r="J298" s="8">
        <v>453.23</v>
      </c>
      <c r="K298" s="8">
        <v>209.08</v>
      </c>
      <c r="L298" s="27">
        <f t="shared" si="1"/>
        <v>125091.48</v>
      </c>
    </row>
    <row r="299">
      <c r="B299" s="6" t="s">
        <v>335</v>
      </c>
      <c r="C299" s="6" t="s">
        <v>61</v>
      </c>
      <c r="D299" s="6" t="s">
        <v>39</v>
      </c>
      <c r="E299" s="6" t="s">
        <v>55</v>
      </c>
      <c r="F299" s="6" t="s">
        <v>17</v>
      </c>
      <c r="G299" s="6" t="s">
        <v>18</v>
      </c>
      <c r="H299" s="7">
        <v>45220.0</v>
      </c>
      <c r="I299" s="6"/>
      <c r="J299" s="8">
        <v>387.45</v>
      </c>
      <c r="K299" s="8">
        <v>150.64</v>
      </c>
      <c r="L299" s="27">
        <f t="shared" si="1"/>
        <v>0</v>
      </c>
    </row>
    <row r="300">
      <c r="B300" s="6" t="s">
        <v>336</v>
      </c>
      <c r="C300" s="6" t="s">
        <v>61</v>
      </c>
      <c r="D300" s="6" t="s">
        <v>15</v>
      </c>
      <c r="E300" s="6" t="s">
        <v>32</v>
      </c>
      <c r="F300" s="6" t="s">
        <v>17</v>
      </c>
      <c r="G300" s="6" t="s">
        <v>23</v>
      </c>
      <c r="H300" s="7">
        <v>45221.0</v>
      </c>
      <c r="I300" s="8">
        <v>188.0</v>
      </c>
      <c r="J300" s="8">
        <v>136.12</v>
      </c>
      <c r="K300" s="8">
        <v>50.71</v>
      </c>
      <c r="L300" s="27">
        <f t="shared" si="1"/>
        <v>25590.56</v>
      </c>
    </row>
    <row r="301">
      <c r="B301" s="6" t="s">
        <v>337</v>
      </c>
      <c r="C301" s="6" t="s">
        <v>20</v>
      </c>
      <c r="D301" s="6" t="s">
        <v>21</v>
      </c>
      <c r="E301" s="6" t="s">
        <v>27</v>
      </c>
      <c r="F301" s="6" t="s">
        <v>17</v>
      </c>
      <c r="G301" s="6" t="s">
        <v>23</v>
      </c>
      <c r="H301" s="7">
        <v>45222.0</v>
      </c>
      <c r="I301" s="8">
        <v>97.0</v>
      </c>
      <c r="J301" s="8">
        <v>324.42</v>
      </c>
      <c r="K301" s="8">
        <v>294.73</v>
      </c>
      <c r="L301" s="27">
        <f t="shared" si="1"/>
        <v>31468.74</v>
      </c>
    </row>
    <row r="302">
      <c r="B302" s="6" t="s">
        <v>338</v>
      </c>
      <c r="C302" s="6" t="s">
        <v>61</v>
      </c>
      <c r="D302" s="6" t="s">
        <v>15</v>
      </c>
      <c r="E302" s="6" t="s">
        <v>32</v>
      </c>
      <c r="F302" s="6" t="s">
        <v>28</v>
      </c>
      <c r="G302" s="6" t="s">
        <v>18</v>
      </c>
      <c r="H302" s="7">
        <v>45223.0</v>
      </c>
      <c r="I302" s="8">
        <v>50.0</v>
      </c>
      <c r="J302" s="8">
        <v>299.9</v>
      </c>
      <c r="K302" s="8">
        <v>95.87</v>
      </c>
      <c r="L302" s="27">
        <f t="shared" si="1"/>
        <v>14995</v>
      </c>
    </row>
    <row r="303">
      <c r="B303" s="6" t="s">
        <v>339</v>
      </c>
      <c r="C303" s="6" t="s">
        <v>14</v>
      </c>
      <c r="D303" s="6" t="s">
        <v>15</v>
      </c>
      <c r="E303" s="6" t="s">
        <v>27</v>
      </c>
      <c r="F303" s="6" t="s">
        <v>28</v>
      </c>
      <c r="G303" s="6" t="s">
        <v>23</v>
      </c>
      <c r="H303" s="7">
        <v>45224.0</v>
      </c>
      <c r="I303" s="8">
        <v>410.0</v>
      </c>
      <c r="J303" s="8">
        <v>203.59</v>
      </c>
      <c r="K303" s="8">
        <v>149.83</v>
      </c>
      <c r="L303" s="27">
        <f t="shared" si="1"/>
        <v>83471.9</v>
      </c>
    </row>
    <row r="304">
      <c r="B304" s="6" t="s">
        <v>340</v>
      </c>
      <c r="C304" s="6" t="s">
        <v>26</v>
      </c>
      <c r="D304" s="6" t="s">
        <v>39</v>
      </c>
      <c r="E304" s="6" t="s">
        <v>16</v>
      </c>
      <c r="F304" s="6" t="s">
        <v>28</v>
      </c>
      <c r="G304" s="6" t="s">
        <v>33</v>
      </c>
      <c r="H304" s="7">
        <v>45225.0</v>
      </c>
      <c r="I304" s="8">
        <v>85.0</v>
      </c>
      <c r="J304" s="8">
        <v>186.64</v>
      </c>
      <c r="K304" s="8">
        <v>26.89</v>
      </c>
      <c r="L304" s="27">
        <f t="shared" si="1"/>
        <v>15864.4</v>
      </c>
    </row>
    <row r="305">
      <c r="B305" s="6" t="s">
        <v>341</v>
      </c>
      <c r="C305" s="6" t="s">
        <v>20</v>
      </c>
      <c r="D305" s="6" t="s">
        <v>31</v>
      </c>
      <c r="E305" s="6" t="s">
        <v>22</v>
      </c>
      <c r="F305" s="6" t="s">
        <v>17</v>
      </c>
      <c r="G305" s="6" t="s">
        <v>18</v>
      </c>
      <c r="H305" s="7">
        <v>45226.0</v>
      </c>
      <c r="I305" s="8">
        <v>386.0</v>
      </c>
      <c r="J305" s="8">
        <v>175.06</v>
      </c>
      <c r="K305" s="8">
        <v>320.94</v>
      </c>
      <c r="L305" s="27">
        <f t="shared" si="1"/>
        <v>67573.16</v>
      </c>
    </row>
    <row r="306">
      <c r="B306" s="6" t="s">
        <v>342</v>
      </c>
      <c r="C306" s="6" t="s">
        <v>26</v>
      </c>
      <c r="D306" s="6" t="s">
        <v>63</v>
      </c>
      <c r="E306" s="6" t="s">
        <v>16</v>
      </c>
      <c r="F306" s="6" t="s">
        <v>17</v>
      </c>
      <c r="G306" s="6" t="s">
        <v>23</v>
      </c>
      <c r="H306" s="7">
        <v>45227.0</v>
      </c>
      <c r="I306" s="8">
        <v>55.0</v>
      </c>
      <c r="J306" s="8">
        <v>310.49</v>
      </c>
      <c r="K306" s="8">
        <v>307.1</v>
      </c>
      <c r="L306" s="27">
        <f t="shared" si="1"/>
        <v>17076.95</v>
      </c>
    </row>
    <row r="307">
      <c r="B307" s="6" t="s">
        <v>343</v>
      </c>
      <c r="C307" s="6" t="s">
        <v>26</v>
      </c>
      <c r="D307" s="6" t="s">
        <v>63</v>
      </c>
      <c r="E307" s="6" t="s">
        <v>32</v>
      </c>
      <c r="F307" s="6" t="s">
        <v>28</v>
      </c>
      <c r="G307" s="6" t="s">
        <v>18</v>
      </c>
      <c r="H307" s="7">
        <v>45228.0</v>
      </c>
      <c r="I307" s="8">
        <v>169.0</v>
      </c>
      <c r="J307" s="8">
        <v>223.99</v>
      </c>
      <c r="K307" s="8">
        <v>293.98</v>
      </c>
      <c r="L307" s="27">
        <f t="shared" si="1"/>
        <v>37854.31</v>
      </c>
    </row>
    <row r="308">
      <c r="B308" s="6" t="s">
        <v>344</v>
      </c>
      <c r="C308" s="6" t="s">
        <v>14</v>
      </c>
      <c r="D308" s="6" t="s">
        <v>39</v>
      </c>
      <c r="E308" s="6" t="s">
        <v>22</v>
      </c>
      <c r="F308" s="6" t="s">
        <v>17</v>
      </c>
      <c r="G308" s="6" t="s">
        <v>33</v>
      </c>
      <c r="H308" s="7">
        <v>45229.0</v>
      </c>
      <c r="I308" s="8">
        <v>472.0</v>
      </c>
      <c r="J308" s="8">
        <v>416.77</v>
      </c>
      <c r="K308" s="8">
        <v>121.18</v>
      </c>
      <c r="L308" s="27">
        <f t="shared" si="1"/>
        <v>196715.44</v>
      </c>
    </row>
    <row r="309">
      <c r="B309" s="6" t="s">
        <v>345</v>
      </c>
      <c r="C309" s="6" t="s">
        <v>61</v>
      </c>
      <c r="D309" s="6" t="s">
        <v>15</v>
      </c>
      <c r="E309" s="6" t="s">
        <v>27</v>
      </c>
      <c r="F309" s="6" t="s">
        <v>17</v>
      </c>
      <c r="G309" s="6" t="s">
        <v>33</v>
      </c>
      <c r="H309" s="7">
        <v>45230.0</v>
      </c>
      <c r="I309" s="8">
        <v>89.0</v>
      </c>
      <c r="J309" s="8">
        <v>336.45</v>
      </c>
      <c r="K309" s="8">
        <v>71.05</v>
      </c>
      <c r="L309" s="27">
        <f t="shared" si="1"/>
        <v>29944.05</v>
      </c>
    </row>
    <row r="310">
      <c r="B310" s="6" t="s">
        <v>346</v>
      </c>
      <c r="C310" s="6" t="s">
        <v>61</v>
      </c>
      <c r="D310" s="6" t="s">
        <v>21</v>
      </c>
      <c r="E310" s="6" t="s">
        <v>22</v>
      </c>
      <c r="F310" s="6" t="s">
        <v>17</v>
      </c>
      <c r="G310" s="6" t="s">
        <v>23</v>
      </c>
      <c r="H310" s="7">
        <v>45231.0</v>
      </c>
      <c r="I310" s="8">
        <v>319.0</v>
      </c>
      <c r="J310" s="8">
        <v>39.62</v>
      </c>
      <c r="K310" s="8">
        <v>255.75</v>
      </c>
      <c r="L310" s="27">
        <f t="shared" si="1"/>
        <v>12638.78</v>
      </c>
    </row>
    <row r="311">
      <c r="B311" s="6" t="s">
        <v>347</v>
      </c>
      <c r="C311" s="6" t="s">
        <v>26</v>
      </c>
      <c r="D311" s="6" t="s">
        <v>15</v>
      </c>
      <c r="E311" s="6"/>
      <c r="F311" s="6" t="s">
        <v>17</v>
      </c>
      <c r="G311" s="6" t="s">
        <v>33</v>
      </c>
      <c r="H311" s="7">
        <v>45232.0</v>
      </c>
      <c r="I311" s="8">
        <v>95.0</v>
      </c>
      <c r="J311" s="8">
        <v>321.88</v>
      </c>
      <c r="K311" s="8">
        <v>199.47</v>
      </c>
      <c r="L311" s="27">
        <f t="shared" si="1"/>
        <v>30578.6</v>
      </c>
    </row>
    <row r="312">
      <c r="B312" s="6" t="s">
        <v>348</v>
      </c>
      <c r="C312" s="6" t="s">
        <v>20</v>
      </c>
      <c r="D312" s="6" t="s">
        <v>39</v>
      </c>
      <c r="E312" s="6"/>
      <c r="F312" s="6" t="s">
        <v>28</v>
      </c>
      <c r="G312" s="6" t="s">
        <v>18</v>
      </c>
      <c r="H312" s="7">
        <v>45233.0</v>
      </c>
      <c r="I312" s="8">
        <v>101.0</v>
      </c>
      <c r="J312" s="8">
        <v>139.22</v>
      </c>
      <c r="K312" s="8">
        <v>72.94</v>
      </c>
      <c r="L312" s="27">
        <f t="shared" si="1"/>
        <v>14061.22</v>
      </c>
    </row>
    <row r="313">
      <c r="B313" s="6" t="s">
        <v>349</v>
      </c>
      <c r="C313" s="6" t="s">
        <v>61</v>
      </c>
      <c r="D313" s="6" t="s">
        <v>63</v>
      </c>
      <c r="E313" s="6"/>
      <c r="F313" s="6" t="s">
        <v>17</v>
      </c>
      <c r="G313" s="6" t="s">
        <v>33</v>
      </c>
      <c r="H313" s="7">
        <v>45234.0</v>
      </c>
      <c r="I313" s="8">
        <v>157.0</v>
      </c>
      <c r="J313" s="6"/>
      <c r="K313" s="8">
        <v>274.99</v>
      </c>
      <c r="L313" s="27">
        <f t="shared" si="1"/>
        <v>0</v>
      </c>
    </row>
    <row r="314">
      <c r="B314" s="6" t="s">
        <v>350</v>
      </c>
      <c r="C314" s="6" t="s">
        <v>20</v>
      </c>
      <c r="D314" s="6" t="s">
        <v>15</v>
      </c>
      <c r="E314" s="6" t="s">
        <v>22</v>
      </c>
      <c r="F314" s="6" t="s">
        <v>17</v>
      </c>
      <c r="G314" s="6" t="s">
        <v>18</v>
      </c>
      <c r="H314" s="7">
        <v>45235.0</v>
      </c>
      <c r="I314" s="8">
        <v>170.0</v>
      </c>
      <c r="J314" s="8">
        <v>341.67</v>
      </c>
      <c r="K314" s="8">
        <v>396.47</v>
      </c>
      <c r="L314" s="27">
        <f t="shared" si="1"/>
        <v>58083.9</v>
      </c>
    </row>
    <row r="315">
      <c r="B315" s="6" t="s">
        <v>351</v>
      </c>
      <c r="C315" s="6" t="s">
        <v>61</v>
      </c>
      <c r="D315" s="6" t="s">
        <v>63</v>
      </c>
      <c r="E315" s="6" t="s">
        <v>55</v>
      </c>
      <c r="F315" s="6" t="s">
        <v>17</v>
      </c>
      <c r="G315" s="6" t="s">
        <v>18</v>
      </c>
      <c r="H315" s="7">
        <v>45236.0</v>
      </c>
      <c r="I315" s="8">
        <v>211.0</v>
      </c>
      <c r="J315" s="8">
        <v>119.26</v>
      </c>
      <c r="K315" s="8">
        <v>299.39</v>
      </c>
      <c r="L315" s="27">
        <f t="shared" si="1"/>
        <v>25163.86</v>
      </c>
    </row>
    <row r="316">
      <c r="B316" s="6" t="s">
        <v>352</v>
      </c>
      <c r="C316" s="6" t="s">
        <v>20</v>
      </c>
      <c r="D316" s="6" t="s">
        <v>21</v>
      </c>
      <c r="E316" s="6" t="s">
        <v>32</v>
      </c>
      <c r="F316" s="6" t="s">
        <v>17</v>
      </c>
      <c r="G316" s="6" t="s">
        <v>33</v>
      </c>
      <c r="H316" s="7">
        <v>45237.0</v>
      </c>
      <c r="I316" s="8">
        <v>433.0</v>
      </c>
      <c r="J316" s="8">
        <v>231.15</v>
      </c>
      <c r="K316" s="8">
        <v>296.51</v>
      </c>
      <c r="L316" s="27">
        <f t="shared" si="1"/>
        <v>100087.95</v>
      </c>
    </row>
    <row r="317">
      <c r="B317" s="6" t="s">
        <v>353</v>
      </c>
      <c r="C317" s="6" t="s">
        <v>14</v>
      </c>
      <c r="D317" s="6" t="s">
        <v>63</v>
      </c>
      <c r="E317" s="6" t="s">
        <v>16</v>
      </c>
      <c r="F317" s="6" t="s">
        <v>28</v>
      </c>
      <c r="G317" s="6" t="s">
        <v>23</v>
      </c>
      <c r="H317" s="7">
        <v>45238.0</v>
      </c>
      <c r="I317" s="8">
        <v>425.0</v>
      </c>
      <c r="J317" s="8">
        <v>99.21</v>
      </c>
      <c r="K317" s="8">
        <v>380.22</v>
      </c>
      <c r="L317" s="27">
        <f t="shared" si="1"/>
        <v>42164.25</v>
      </c>
    </row>
    <row r="318">
      <c r="B318" s="6" t="s">
        <v>354</v>
      </c>
      <c r="C318" s="6" t="s">
        <v>20</v>
      </c>
      <c r="D318" s="6" t="s">
        <v>63</v>
      </c>
      <c r="E318" s="6" t="s">
        <v>27</v>
      </c>
      <c r="F318" s="6" t="s">
        <v>28</v>
      </c>
      <c r="G318" s="6" t="s">
        <v>33</v>
      </c>
      <c r="H318" s="7">
        <v>45239.0</v>
      </c>
      <c r="I318" s="8">
        <v>251.0</v>
      </c>
      <c r="J318" s="8">
        <v>30.91</v>
      </c>
      <c r="K318" s="8">
        <v>82.77</v>
      </c>
      <c r="L318" s="27">
        <f t="shared" si="1"/>
        <v>7758.41</v>
      </c>
    </row>
    <row r="319">
      <c r="B319" s="6" t="s">
        <v>355</v>
      </c>
      <c r="C319" s="6" t="s">
        <v>14</v>
      </c>
      <c r="D319" s="6" t="s">
        <v>31</v>
      </c>
      <c r="E319" s="6" t="s">
        <v>22</v>
      </c>
      <c r="F319" s="6" t="s">
        <v>17</v>
      </c>
      <c r="G319" s="6" t="s">
        <v>18</v>
      </c>
      <c r="H319" s="7">
        <v>45240.0</v>
      </c>
      <c r="I319" s="6"/>
      <c r="J319" s="8">
        <v>192.35</v>
      </c>
      <c r="K319" s="8">
        <v>227.09</v>
      </c>
      <c r="L319" s="27">
        <f t="shared" si="1"/>
        <v>0</v>
      </c>
    </row>
    <row r="320">
      <c r="B320" s="6" t="s">
        <v>356</v>
      </c>
      <c r="C320" s="6" t="s">
        <v>14</v>
      </c>
      <c r="D320" s="6" t="s">
        <v>31</v>
      </c>
      <c r="E320" s="6" t="s">
        <v>16</v>
      </c>
      <c r="F320" s="6" t="s">
        <v>17</v>
      </c>
      <c r="G320" s="6" t="s">
        <v>18</v>
      </c>
      <c r="H320" s="7">
        <v>45241.0</v>
      </c>
      <c r="I320" s="8">
        <v>11.0</v>
      </c>
      <c r="J320" s="8">
        <v>184.66</v>
      </c>
      <c r="K320" s="8">
        <v>391.9</v>
      </c>
      <c r="L320" s="27">
        <f t="shared" si="1"/>
        <v>2031.26</v>
      </c>
    </row>
    <row r="321">
      <c r="B321" s="6" t="s">
        <v>357</v>
      </c>
      <c r="C321" s="6" t="s">
        <v>20</v>
      </c>
      <c r="D321" s="6" t="s">
        <v>31</v>
      </c>
      <c r="E321" s="6" t="s">
        <v>27</v>
      </c>
      <c r="F321" s="6" t="s">
        <v>17</v>
      </c>
      <c r="G321" s="6" t="s">
        <v>33</v>
      </c>
      <c r="H321" s="7">
        <v>45242.0</v>
      </c>
      <c r="I321" s="8">
        <v>234.0</v>
      </c>
      <c r="J321" s="8">
        <v>497.76</v>
      </c>
      <c r="K321" s="8">
        <v>67.79</v>
      </c>
      <c r="L321" s="27">
        <f t="shared" si="1"/>
        <v>116475.84</v>
      </c>
    </row>
    <row r="322">
      <c r="B322" s="6" t="s">
        <v>358</v>
      </c>
      <c r="C322" s="6" t="s">
        <v>14</v>
      </c>
      <c r="D322" s="6" t="s">
        <v>63</v>
      </c>
      <c r="E322" s="6" t="s">
        <v>27</v>
      </c>
      <c r="F322" s="6" t="s">
        <v>17</v>
      </c>
      <c r="G322" s="6" t="s">
        <v>23</v>
      </c>
      <c r="H322" s="7">
        <v>45243.0</v>
      </c>
      <c r="I322" s="6"/>
      <c r="J322" s="8">
        <v>225.94</v>
      </c>
      <c r="K322" s="8">
        <v>280.7</v>
      </c>
      <c r="L322" s="27">
        <f t="shared" si="1"/>
        <v>0</v>
      </c>
    </row>
    <row r="323">
      <c r="B323" s="6" t="s">
        <v>359</v>
      </c>
      <c r="C323" s="6" t="s">
        <v>26</v>
      </c>
      <c r="D323" s="6" t="s">
        <v>39</v>
      </c>
      <c r="E323" s="6" t="s">
        <v>55</v>
      </c>
      <c r="F323" s="6" t="s">
        <v>17</v>
      </c>
      <c r="G323" s="6" t="s">
        <v>23</v>
      </c>
      <c r="H323" s="7">
        <v>45244.0</v>
      </c>
      <c r="I323" s="8">
        <v>242.0</v>
      </c>
      <c r="J323" s="8">
        <v>170.12</v>
      </c>
      <c r="K323" s="8">
        <v>235.15</v>
      </c>
      <c r="L323" s="27">
        <f t="shared" si="1"/>
        <v>41169.04</v>
      </c>
    </row>
    <row r="324">
      <c r="B324" s="6" t="s">
        <v>360</v>
      </c>
      <c r="C324" s="6" t="s">
        <v>14</v>
      </c>
      <c r="D324" s="6" t="s">
        <v>63</v>
      </c>
      <c r="E324" s="6" t="s">
        <v>32</v>
      </c>
      <c r="F324" s="6" t="s">
        <v>17</v>
      </c>
      <c r="G324" s="6" t="s">
        <v>18</v>
      </c>
      <c r="H324" s="7">
        <v>45245.0</v>
      </c>
      <c r="I324" s="8">
        <v>470.0</v>
      </c>
      <c r="J324" s="8">
        <v>292.34</v>
      </c>
      <c r="K324" s="8">
        <v>235.42</v>
      </c>
      <c r="L324" s="27">
        <f t="shared" si="1"/>
        <v>137399.8</v>
      </c>
    </row>
    <row r="325">
      <c r="B325" s="6" t="s">
        <v>361</v>
      </c>
      <c r="C325" s="6" t="s">
        <v>61</v>
      </c>
      <c r="D325" s="6" t="s">
        <v>39</v>
      </c>
      <c r="E325" s="6" t="s">
        <v>32</v>
      </c>
      <c r="F325" s="6" t="s">
        <v>28</v>
      </c>
      <c r="G325" s="6" t="s">
        <v>18</v>
      </c>
      <c r="H325" s="7">
        <v>45246.0</v>
      </c>
      <c r="I325" s="8">
        <v>423.0</v>
      </c>
      <c r="J325" s="8">
        <v>48.94</v>
      </c>
      <c r="K325" s="8">
        <v>279.67</v>
      </c>
      <c r="L325" s="27">
        <f t="shared" si="1"/>
        <v>20701.62</v>
      </c>
    </row>
    <row r="326">
      <c r="B326" s="6" t="s">
        <v>362</v>
      </c>
      <c r="C326" s="6" t="s">
        <v>20</v>
      </c>
      <c r="D326" s="6" t="s">
        <v>39</v>
      </c>
      <c r="E326" s="6" t="s">
        <v>16</v>
      </c>
      <c r="F326" s="6" t="s">
        <v>17</v>
      </c>
      <c r="G326" s="6" t="s">
        <v>23</v>
      </c>
      <c r="H326" s="7">
        <v>45247.0</v>
      </c>
      <c r="I326" s="8">
        <v>426.0</v>
      </c>
      <c r="J326" s="8">
        <v>481.02</v>
      </c>
      <c r="K326" s="8">
        <v>371.99</v>
      </c>
      <c r="L326" s="27">
        <f t="shared" si="1"/>
        <v>204914.52</v>
      </c>
    </row>
    <row r="327">
      <c r="B327" s="6" t="s">
        <v>363</v>
      </c>
      <c r="C327" s="6" t="s">
        <v>26</v>
      </c>
      <c r="D327" s="6" t="s">
        <v>31</v>
      </c>
      <c r="E327" s="6" t="s">
        <v>32</v>
      </c>
      <c r="F327" s="6" t="s">
        <v>28</v>
      </c>
      <c r="G327" s="6" t="s">
        <v>33</v>
      </c>
      <c r="H327" s="7">
        <v>45248.0</v>
      </c>
      <c r="I327" s="8">
        <v>86.0</v>
      </c>
      <c r="J327" s="8">
        <v>319.31</v>
      </c>
      <c r="K327" s="8">
        <v>313.47</v>
      </c>
      <c r="L327" s="27">
        <f t="shared" si="1"/>
        <v>27460.66</v>
      </c>
    </row>
    <row r="328">
      <c r="B328" s="6" t="s">
        <v>364</v>
      </c>
      <c r="C328" s="6" t="s">
        <v>20</v>
      </c>
      <c r="D328" s="6" t="s">
        <v>15</v>
      </c>
      <c r="E328" s="6" t="s">
        <v>22</v>
      </c>
      <c r="F328" s="6" t="s">
        <v>28</v>
      </c>
      <c r="G328" s="6" t="s">
        <v>18</v>
      </c>
      <c r="H328" s="7">
        <v>45249.0</v>
      </c>
      <c r="I328" s="8">
        <v>125.0</v>
      </c>
      <c r="J328" s="8">
        <v>378.64</v>
      </c>
      <c r="K328" s="8">
        <v>24.34</v>
      </c>
      <c r="L328" s="27">
        <f t="shared" si="1"/>
        <v>47330</v>
      </c>
    </row>
    <row r="329">
      <c r="B329" s="6" t="s">
        <v>365</v>
      </c>
      <c r="C329" s="6" t="s">
        <v>61</v>
      </c>
      <c r="D329" s="6" t="s">
        <v>21</v>
      </c>
      <c r="E329" s="6"/>
      <c r="F329" s="6" t="s">
        <v>17</v>
      </c>
      <c r="G329" s="6" t="s">
        <v>18</v>
      </c>
      <c r="H329" s="7">
        <v>45250.0</v>
      </c>
      <c r="I329" s="8">
        <v>163.0</v>
      </c>
      <c r="J329" s="8">
        <v>89.39</v>
      </c>
      <c r="K329" s="8">
        <v>341.39</v>
      </c>
      <c r="L329" s="27">
        <f t="shared" si="1"/>
        <v>14570.57</v>
      </c>
    </row>
    <row r="330">
      <c r="B330" s="6" t="s">
        <v>366</v>
      </c>
      <c r="C330" s="6" t="s">
        <v>61</v>
      </c>
      <c r="D330" s="6" t="s">
        <v>31</v>
      </c>
      <c r="E330" s="6" t="s">
        <v>16</v>
      </c>
      <c r="F330" s="6" t="s">
        <v>28</v>
      </c>
      <c r="G330" s="6" t="s">
        <v>23</v>
      </c>
      <c r="H330" s="7">
        <v>45251.0</v>
      </c>
      <c r="I330" s="8">
        <v>415.0</v>
      </c>
      <c r="J330" s="8">
        <v>207.69</v>
      </c>
      <c r="K330" s="8">
        <v>91.77</v>
      </c>
      <c r="L330" s="27">
        <f t="shared" si="1"/>
        <v>86191.35</v>
      </c>
    </row>
    <row r="331">
      <c r="B331" s="6" t="s">
        <v>367</v>
      </c>
      <c r="C331" s="6" t="s">
        <v>61</v>
      </c>
      <c r="D331" s="6" t="s">
        <v>31</v>
      </c>
      <c r="E331" s="6" t="s">
        <v>32</v>
      </c>
      <c r="F331" s="6" t="s">
        <v>28</v>
      </c>
      <c r="G331" s="6" t="s">
        <v>33</v>
      </c>
      <c r="H331" s="7">
        <v>45252.0</v>
      </c>
      <c r="I331" s="8">
        <v>112.0</v>
      </c>
      <c r="J331" s="8">
        <v>214.23</v>
      </c>
      <c r="K331" s="8">
        <v>152.01</v>
      </c>
      <c r="L331" s="27">
        <f t="shared" si="1"/>
        <v>23993.76</v>
      </c>
    </row>
    <row r="332">
      <c r="B332" s="6" t="s">
        <v>368</v>
      </c>
      <c r="C332" s="6" t="s">
        <v>14</v>
      </c>
      <c r="D332" s="6" t="s">
        <v>15</v>
      </c>
      <c r="E332" s="6" t="s">
        <v>22</v>
      </c>
      <c r="F332" s="6" t="s">
        <v>28</v>
      </c>
      <c r="G332" s="6" t="s">
        <v>23</v>
      </c>
      <c r="H332" s="7">
        <v>45253.0</v>
      </c>
      <c r="I332" s="8">
        <v>203.0</v>
      </c>
      <c r="J332" s="8">
        <v>411.79</v>
      </c>
      <c r="K332" s="8">
        <v>185.77</v>
      </c>
      <c r="L332" s="27">
        <f t="shared" si="1"/>
        <v>83593.37</v>
      </c>
    </row>
    <row r="333">
      <c r="B333" s="6" t="s">
        <v>369</v>
      </c>
      <c r="C333" s="6" t="s">
        <v>14</v>
      </c>
      <c r="D333" s="6" t="s">
        <v>21</v>
      </c>
      <c r="E333" s="6" t="s">
        <v>55</v>
      </c>
      <c r="F333" s="6" t="s">
        <v>28</v>
      </c>
      <c r="G333" s="6" t="s">
        <v>33</v>
      </c>
      <c r="H333" s="7">
        <v>45254.0</v>
      </c>
      <c r="I333" s="6"/>
      <c r="J333" s="8">
        <v>5.61</v>
      </c>
      <c r="K333" s="8">
        <v>193.4</v>
      </c>
      <c r="L333" s="27">
        <f t="shared" si="1"/>
        <v>0</v>
      </c>
    </row>
    <row r="334">
      <c r="B334" s="6" t="s">
        <v>370</v>
      </c>
      <c r="C334" s="6" t="s">
        <v>20</v>
      </c>
      <c r="D334" s="6" t="s">
        <v>63</v>
      </c>
      <c r="E334" s="6" t="s">
        <v>16</v>
      </c>
      <c r="F334" s="6" t="s">
        <v>28</v>
      </c>
      <c r="G334" s="6" t="s">
        <v>33</v>
      </c>
      <c r="H334" s="7">
        <v>45255.0</v>
      </c>
      <c r="I334" s="8">
        <v>368.0</v>
      </c>
      <c r="J334" s="8">
        <v>153.92</v>
      </c>
      <c r="K334" s="8">
        <v>175.2</v>
      </c>
      <c r="L334" s="27">
        <f t="shared" si="1"/>
        <v>56642.56</v>
      </c>
    </row>
    <row r="335">
      <c r="B335" s="6" t="s">
        <v>371</v>
      </c>
      <c r="C335" s="6" t="s">
        <v>20</v>
      </c>
      <c r="D335" s="6" t="s">
        <v>63</v>
      </c>
      <c r="E335" s="6" t="s">
        <v>55</v>
      </c>
      <c r="F335" s="6" t="s">
        <v>28</v>
      </c>
      <c r="G335" s="6" t="s">
        <v>33</v>
      </c>
      <c r="H335" s="7">
        <v>45256.0</v>
      </c>
      <c r="I335" s="8">
        <v>99.0</v>
      </c>
      <c r="J335" s="8">
        <v>490.71</v>
      </c>
      <c r="K335" s="8">
        <v>375.07</v>
      </c>
      <c r="L335" s="27">
        <f t="shared" si="1"/>
        <v>48580.29</v>
      </c>
    </row>
    <row r="336">
      <c r="B336" s="6" t="s">
        <v>372</v>
      </c>
      <c r="C336" s="6" t="s">
        <v>26</v>
      </c>
      <c r="D336" s="6" t="s">
        <v>31</v>
      </c>
      <c r="E336" s="6" t="s">
        <v>55</v>
      </c>
      <c r="F336" s="6" t="s">
        <v>17</v>
      </c>
      <c r="G336" s="6" t="s">
        <v>18</v>
      </c>
      <c r="H336" s="7">
        <v>45257.0</v>
      </c>
      <c r="I336" s="8">
        <v>183.0</v>
      </c>
      <c r="J336" s="8">
        <v>240.07</v>
      </c>
      <c r="K336" s="8">
        <v>283.0</v>
      </c>
      <c r="L336" s="27">
        <f t="shared" si="1"/>
        <v>43932.81</v>
      </c>
    </row>
    <row r="337">
      <c r="B337" s="6" t="s">
        <v>373</v>
      </c>
      <c r="C337" s="6"/>
      <c r="D337" s="6" t="s">
        <v>21</v>
      </c>
      <c r="E337" s="6" t="s">
        <v>55</v>
      </c>
      <c r="F337" s="6" t="s">
        <v>28</v>
      </c>
      <c r="G337" s="6" t="s">
        <v>23</v>
      </c>
      <c r="H337" s="7">
        <v>45258.0</v>
      </c>
      <c r="I337" s="8">
        <v>131.0</v>
      </c>
      <c r="J337" s="8">
        <v>194.35</v>
      </c>
      <c r="K337" s="8">
        <v>253.21</v>
      </c>
      <c r="L337" s="27">
        <f t="shared" si="1"/>
        <v>25459.85</v>
      </c>
    </row>
    <row r="338">
      <c r="B338" s="6" t="s">
        <v>374</v>
      </c>
      <c r="C338" s="6" t="s">
        <v>20</v>
      </c>
      <c r="D338" s="6" t="s">
        <v>31</v>
      </c>
      <c r="E338" s="6" t="s">
        <v>27</v>
      </c>
      <c r="F338" s="6" t="s">
        <v>28</v>
      </c>
      <c r="G338" s="6" t="s">
        <v>23</v>
      </c>
      <c r="H338" s="7">
        <v>45259.0</v>
      </c>
      <c r="I338" s="8">
        <v>152.0</v>
      </c>
      <c r="J338" s="8">
        <v>64.32</v>
      </c>
      <c r="K338" s="8">
        <v>21.84</v>
      </c>
      <c r="L338" s="27">
        <f t="shared" si="1"/>
        <v>9776.64</v>
      </c>
    </row>
    <row r="339">
      <c r="B339" s="6" t="s">
        <v>375</v>
      </c>
      <c r="C339" s="6" t="s">
        <v>14</v>
      </c>
      <c r="D339" s="6" t="s">
        <v>39</v>
      </c>
      <c r="E339" s="6" t="s">
        <v>27</v>
      </c>
      <c r="F339" s="6" t="s">
        <v>28</v>
      </c>
      <c r="G339" s="6" t="s">
        <v>33</v>
      </c>
      <c r="H339" s="7">
        <v>45260.0</v>
      </c>
      <c r="I339" s="8">
        <v>491.0</v>
      </c>
      <c r="J339" s="8">
        <v>487.21</v>
      </c>
      <c r="K339" s="8">
        <v>361.76</v>
      </c>
      <c r="L339" s="27">
        <f t="shared" si="1"/>
        <v>239220.11</v>
      </c>
    </row>
    <row r="340">
      <c r="B340" s="6" t="s">
        <v>376</v>
      </c>
      <c r="C340" s="6" t="s">
        <v>61</v>
      </c>
      <c r="D340" s="6" t="s">
        <v>31</v>
      </c>
      <c r="E340" s="6" t="s">
        <v>55</v>
      </c>
      <c r="F340" s="6" t="s">
        <v>17</v>
      </c>
      <c r="G340" s="6" t="s">
        <v>18</v>
      </c>
      <c r="H340" s="7">
        <v>45261.0</v>
      </c>
      <c r="I340" s="8">
        <v>115.0</v>
      </c>
      <c r="J340" s="8">
        <v>14.91</v>
      </c>
      <c r="K340" s="8">
        <v>363.94</v>
      </c>
      <c r="L340" s="27">
        <f t="shared" si="1"/>
        <v>1714.65</v>
      </c>
    </row>
    <row r="341">
      <c r="B341" s="6" t="s">
        <v>377</v>
      </c>
      <c r="C341" s="6" t="s">
        <v>20</v>
      </c>
      <c r="D341" s="6" t="s">
        <v>31</v>
      </c>
      <c r="E341" s="6" t="s">
        <v>16</v>
      </c>
      <c r="F341" s="6" t="s">
        <v>28</v>
      </c>
      <c r="G341" s="6" t="s">
        <v>18</v>
      </c>
      <c r="H341" s="7">
        <v>45262.0</v>
      </c>
      <c r="I341" s="8">
        <v>384.0</v>
      </c>
      <c r="J341" s="8">
        <v>369.9</v>
      </c>
      <c r="K341" s="8">
        <v>312.52</v>
      </c>
      <c r="L341" s="27">
        <f t="shared" si="1"/>
        <v>142041.6</v>
      </c>
    </row>
    <row r="342">
      <c r="B342" s="6" t="s">
        <v>378</v>
      </c>
      <c r="C342" s="6" t="s">
        <v>26</v>
      </c>
      <c r="D342" s="6" t="s">
        <v>63</v>
      </c>
      <c r="E342" s="6" t="s">
        <v>22</v>
      </c>
      <c r="F342" s="6" t="s">
        <v>17</v>
      </c>
      <c r="G342" s="6" t="s">
        <v>23</v>
      </c>
      <c r="H342" s="7">
        <v>45263.0</v>
      </c>
      <c r="I342" s="8">
        <v>437.0</v>
      </c>
      <c r="J342" s="8">
        <v>385.46</v>
      </c>
      <c r="K342" s="8">
        <v>4.8</v>
      </c>
      <c r="L342" s="27">
        <f t="shared" si="1"/>
        <v>168446.02</v>
      </c>
    </row>
    <row r="343">
      <c r="B343" s="6" t="s">
        <v>379</v>
      </c>
      <c r="C343" s="6" t="s">
        <v>14</v>
      </c>
      <c r="D343" s="6" t="s">
        <v>63</v>
      </c>
      <c r="E343" s="6" t="s">
        <v>22</v>
      </c>
      <c r="F343" s="6" t="s">
        <v>28</v>
      </c>
      <c r="G343" s="6" t="s">
        <v>18</v>
      </c>
      <c r="H343" s="7">
        <v>45264.0</v>
      </c>
      <c r="I343" s="8">
        <v>314.0</v>
      </c>
      <c r="J343" s="8">
        <v>125.61</v>
      </c>
      <c r="K343" s="8">
        <v>24.8</v>
      </c>
      <c r="L343" s="27">
        <f t="shared" si="1"/>
        <v>39441.54</v>
      </c>
    </row>
    <row r="344">
      <c r="B344" s="6" t="s">
        <v>380</v>
      </c>
      <c r="C344" s="6" t="s">
        <v>20</v>
      </c>
      <c r="D344" s="6" t="s">
        <v>63</v>
      </c>
      <c r="E344" s="6" t="s">
        <v>32</v>
      </c>
      <c r="F344" s="6" t="s">
        <v>17</v>
      </c>
      <c r="G344" s="6" t="s">
        <v>18</v>
      </c>
      <c r="H344" s="7">
        <v>45265.0</v>
      </c>
      <c r="I344" s="8">
        <v>369.0</v>
      </c>
      <c r="J344" s="8">
        <v>337.42</v>
      </c>
      <c r="K344" s="8">
        <v>91.64</v>
      </c>
      <c r="L344" s="27">
        <f t="shared" si="1"/>
        <v>124507.98</v>
      </c>
    </row>
    <row r="345">
      <c r="B345" s="6" t="s">
        <v>381</v>
      </c>
      <c r="C345" s="6" t="s">
        <v>20</v>
      </c>
      <c r="D345" s="6" t="s">
        <v>39</v>
      </c>
      <c r="E345" s="6" t="s">
        <v>16</v>
      </c>
      <c r="F345" s="6" t="s">
        <v>17</v>
      </c>
      <c r="G345" s="6" t="s">
        <v>33</v>
      </c>
      <c r="H345" s="7">
        <v>45266.0</v>
      </c>
      <c r="I345" s="8">
        <v>468.0</v>
      </c>
      <c r="J345" s="8">
        <v>51.0</v>
      </c>
      <c r="K345" s="8">
        <v>54.28</v>
      </c>
      <c r="L345" s="27">
        <f t="shared" si="1"/>
        <v>23868</v>
      </c>
    </row>
    <row r="346">
      <c r="B346" s="6" t="s">
        <v>382</v>
      </c>
      <c r="C346" s="6" t="s">
        <v>14</v>
      </c>
      <c r="D346" s="6" t="s">
        <v>63</v>
      </c>
      <c r="E346" s="6" t="s">
        <v>27</v>
      </c>
      <c r="F346" s="6" t="s">
        <v>28</v>
      </c>
      <c r="G346" s="6" t="s">
        <v>18</v>
      </c>
      <c r="H346" s="7">
        <v>45267.0</v>
      </c>
      <c r="I346" s="8">
        <v>326.0</v>
      </c>
      <c r="J346" s="8">
        <v>132.24</v>
      </c>
      <c r="K346" s="8">
        <v>160.74</v>
      </c>
      <c r="L346" s="27">
        <f t="shared" si="1"/>
        <v>43110.24</v>
      </c>
    </row>
    <row r="347">
      <c r="B347" s="6" t="s">
        <v>383</v>
      </c>
      <c r="C347" s="6" t="s">
        <v>20</v>
      </c>
      <c r="D347" s="6" t="s">
        <v>21</v>
      </c>
      <c r="E347" s="6" t="s">
        <v>55</v>
      </c>
      <c r="F347" s="6" t="s">
        <v>28</v>
      </c>
      <c r="G347" s="6" t="s">
        <v>33</v>
      </c>
      <c r="H347" s="7">
        <v>45268.0</v>
      </c>
      <c r="I347" s="8">
        <v>460.0</v>
      </c>
      <c r="J347" s="8">
        <v>395.01</v>
      </c>
      <c r="K347" s="8">
        <v>369.2</v>
      </c>
      <c r="L347" s="27">
        <f t="shared" si="1"/>
        <v>181704.6</v>
      </c>
    </row>
    <row r="348">
      <c r="B348" s="6" t="s">
        <v>384</v>
      </c>
      <c r="C348" s="6" t="s">
        <v>14</v>
      </c>
      <c r="D348" s="6" t="s">
        <v>15</v>
      </c>
      <c r="E348" s="6" t="s">
        <v>32</v>
      </c>
      <c r="F348" s="6" t="s">
        <v>17</v>
      </c>
      <c r="G348" s="6" t="s">
        <v>23</v>
      </c>
      <c r="H348" s="7">
        <v>45269.0</v>
      </c>
      <c r="I348" s="8">
        <v>132.0</v>
      </c>
      <c r="J348" s="8">
        <v>433.02</v>
      </c>
      <c r="K348" s="8">
        <v>189.88</v>
      </c>
      <c r="L348" s="27">
        <f t="shared" si="1"/>
        <v>57158.64</v>
      </c>
    </row>
    <row r="349">
      <c r="B349" s="6" t="s">
        <v>385</v>
      </c>
      <c r="C349" s="6" t="s">
        <v>61</v>
      </c>
      <c r="D349" s="6" t="s">
        <v>21</v>
      </c>
      <c r="E349" s="6" t="s">
        <v>22</v>
      </c>
      <c r="F349" s="6" t="s">
        <v>28</v>
      </c>
      <c r="G349" s="6" t="s">
        <v>18</v>
      </c>
      <c r="H349" s="7">
        <v>45270.0</v>
      </c>
      <c r="I349" s="8">
        <v>399.0</v>
      </c>
      <c r="J349" s="8">
        <v>306.2</v>
      </c>
      <c r="K349" s="8">
        <v>7.33</v>
      </c>
      <c r="L349" s="27">
        <f t="shared" si="1"/>
        <v>122173.8</v>
      </c>
    </row>
    <row r="350">
      <c r="B350" s="6" t="s">
        <v>386</v>
      </c>
      <c r="C350" s="6" t="s">
        <v>14</v>
      </c>
      <c r="D350" s="6" t="s">
        <v>21</v>
      </c>
      <c r="E350" s="6" t="s">
        <v>27</v>
      </c>
      <c r="F350" s="6" t="s">
        <v>17</v>
      </c>
      <c r="G350" s="6" t="s">
        <v>23</v>
      </c>
      <c r="H350" s="7">
        <v>45271.0</v>
      </c>
      <c r="I350" s="8">
        <v>18.0</v>
      </c>
      <c r="J350" s="8">
        <v>255.89</v>
      </c>
      <c r="K350" s="8">
        <v>114.53</v>
      </c>
      <c r="L350" s="27">
        <f t="shared" si="1"/>
        <v>4606.02</v>
      </c>
    </row>
    <row r="351">
      <c r="B351" s="6" t="s">
        <v>387</v>
      </c>
      <c r="C351" s="6" t="s">
        <v>14</v>
      </c>
      <c r="D351" s="6" t="s">
        <v>63</v>
      </c>
      <c r="E351" s="6" t="s">
        <v>27</v>
      </c>
      <c r="F351" s="6" t="s">
        <v>17</v>
      </c>
      <c r="G351" s="6" t="s">
        <v>23</v>
      </c>
      <c r="H351" s="7">
        <v>45272.0</v>
      </c>
      <c r="I351" s="8">
        <v>271.0</v>
      </c>
      <c r="J351" s="8">
        <v>83.86</v>
      </c>
      <c r="K351" s="8">
        <v>19.75</v>
      </c>
      <c r="L351" s="27">
        <f t="shared" si="1"/>
        <v>22726.06</v>
      </c>
    </row>
    <row r="352">
      <c r="B352" s="6" t="s">
        <v>388</v>
      </c>
      <c r="C352" s="6"/>
      <c r="D352" s="6" t="s">
        <v>15</v>
      </c>
      <c r="E352" s="6" t="s">
        <v>55</v>
      </c>
      <c r="F352" s="6" t="s">
        <v>17</v>
      </c>
      <c r="G352" s="6" t="s">
        <v>18</v>
      </c>
      <c r="H352" s="7">
        <v>45273.0</v>
      </c>
      <c r="I352" s="8">
        <v>82.0</v>
      </c>
      <c r="J352" s="8">
        <v>36.24</v>
      </c>
      <c r="K352" s="8">
        <v>16.44</v>
      </c>
      <c r="L352" s="27">
        <f t="shared" si="1"/>
        <v>2971.68</v>
      </c>
    </row>
    <row r="353">
      <c r="B353" s="6" t="s">
        <v>389</v>
      </c>
      <c r="C353" s="6" t="s">
        <v>20</v>
      </c>
      <c r="D353" s="6" t="s">
        <v>15</v>
      </c>
      <c r="E353" s="6" t="s">
        <v>22</v>
      </c>
      <c r="F353" s="6" t="s">
        <v>17</v>
      </c>
      <c r="G353" s="6" t="s">
        <v>18</v>
      </c>
      <c r="H353" s="7">
        <v>45274.0</v>
      </c>
      <c r="I353" s="8">
        <v>368.0</v>
      </c>
      <c r="J353" s="8">
        <v>63.24</v>
      </c>
      <c r="K353" s="8">
        <v>111.74</v>
      </c>
      <c r="L353" s="27">
        <f t="shared" si="1"/>
        <v>23272.32</v>
      </c>
    </row>
    <row r="354">
      <c r="B354" s="6" t="s">
        <v>390</v>
      </c>
      <c r="C354" s="6" t="s">
        <v>20</v>
      </c>
      <c r="D354" s="6" t="s">
        <v>15</v>
      </c>
      <c r="E354" s="6" t="s">
        <v>16</v>
      </c>
      <c r="F354" s="6" t="s">
        <v>17</v>
      </c>
      <c r="G354" s="6" t="s">
        <v>23</v>
      </c>
      <c r="H354" s="7">
        <v>45275.0</v>
      </c>
      <c r="I354" s="8">
        <v>232.0</v>
      </c>
      <c r="J354" s="8">
        <v>117.54</v>
      </c>
      <c r="K354" s="8">
        <v>111.69</v>
      </c>
      <c r="L354" s="27">
        <f t="shared" si="1"/>
        <v>27269.28</v>
      </c>
    </row>
    <row r="355">
      <c r="B355" s="6" t="s">
        <v>391</v>
      </c>
      <c r="C355" s="6" t="s">
        <v>14</v>
      </c>
      <c r="D355" s="6" t="s">
        <v>39</v>
      </c>
      <c r="E355" s="6" t="s">
        <v>27</v>
      </c>
      <c r="F355" s="6" t="s">
        <v>28</v>
      </c>
      <c r="G355" s="6" t="s">
        <v>18</v>
      </c>
      <c r="H355" s="7">
        <v>45276.0</v>
      </c>
      <c r="I355" s="8">
        <v>425.0</v>
      </c>
      <c r="J355" s="8">
        <v>174.13</v>
      </c>
      <c r="K355" s="8">
        <v>315.28</v>
      </c>
      <c r="L355" s="27">
        <f t="shared" si="1"/>
        <v>74005.25</v>
      </c>
    </row>
  </sheetData>
  <customSheetViews>
    <customSheetView guid="{0366369C-4232-4545-ABDD-3EE3A2A56F08}" filter="1" showAutoFilter="1">
      <autoFilter ref="$B$5:$L$355"/>
    </customSheetView>
  </customSheetView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13"/>
  </cols>
  <sheetData>
    <row r="1"/>
    <row r="2"/>
    <row r="3"/>
    <row r="4"/>
    <row r="5"/>
    <row r="6"/>
    <row r="7"/>
    <row r="8"/>
  </sheetData>
  <drawing r:id="rId2"/>
  <extLst>
    <ext uri="{3A4CF648-6AED-40f4-86FF-DC5316D8AED3}">
      <x14:slicerList>
        <x14:slicer r:id="rId3"/>
      </x14:slicerList>
    </ext>
  </extLst>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s>
  <sheetData>
    <row r="3">
      <c r="A3" s="39" t="s">
        <v>467</v>
      </c>
      <c r="B3" s="39" t="s">
        <v>468</v>
      </c>
      <c r="C3" s="40"/>
      <c r="D3" s="40"/>
      <c r="E3" s="40"/>
      <c r="F3" s="41"/>
      <c r="G3" s="41"/>
    </row>
    <row r="5">
      <c r="A5" s="5" t="s">
        <v>12</v>
      </c>
      <c r="B5" s="4" t="s">
        <v>2</v>
      </c>
      <c r="C5" s="4" t="s">
        <v>3</v>
      </c>
      <c r="D5" s="4" t="s">
        <v>4</v>
      </c>
      <c r="E5" s="4" t="s">
        <v>5</v>
      </c>
      <c r="F5" s="4" t="s">
        <v>6</v>
      </c>
      <c r="G5" s="4" t="s">
        <v>7</v>
      </c>
      <c r="H5" s="4" t="s">
        <v>8</v>
      </c>
      <c r="I5" s="4" t="s">
        <v>9</v>
      </c>
      <c r="J5" s="4" t="s">
        <v>10</v>
      </c>
      <c r="K5" s="4" t="s">
        <v>11</v>
      </c>
      <c r="L5" s="36" t="s">
        <v>452</v>
      </c>
      <c r="M5" s="36" t="s">
        <v>438</v>
      </c>
      <c r="N5" s="36" t="s">
        <v>469</v>
      </c>
    </row>
    <row r="6">
      <c r="B6" s="6" t="s">
        <v>13</v>
      </c>
      <c r="C6" s="6" t="s">
        <v>14</v>
      </c>
      <c r="D6" s="6" t="s">
        <v>15</v>
      </c>
      <c r="E6" s="6" t="s">
        <v>16</v>
      </c>
      <c r="F6" s="6" t="s">
        <v>17</v>
      </c>
      <c r="G6" s="6" t="s">
        <v>18</v>
      </c>
      <c r="H6" s="7">
        <v>44927.0</v>
      </c>
      <c r="I6" s="8">
        <v>235.0</v>
      </c>
      <c r="J6" s="8">
        <v>152.92</v>
      </c>
      <c r="K6" s="8">
        <v>153.6</v>
      </c>
      <c r="L6" s="27">
        <f t="shared" ref="L6:L355" si="1">IF(OR(I6="", J6=""), , I6*J6)</f>
        <v>35936.2</v>
      </c>
      <c r="M6" s="27">
        <f t="shared" ref="M6:M355" si="2">IF(OR(I6="", J6="", K6=""), , I6*(J6-K6))</f>
        <v>-159.8</v>
      </c>
      <c r="N6" s="27">
        <f t="shared" ref="N6:N355" si="3">COUNTA(B6:B355)
</f>
        <v>350</v>
      </c>
      <c r="O6" s="25" t="s">
        <v>470</v>
      </c>
      <c r="Q6" s="42"/>
      <c r="R6" s="42"/>
      <c r="S6" s="42"/>
      <c r="T6" s="42"/>
      <c r="U6" s="42"/>
      <c r="V6" s="42"/>
      <c r="W6" s="42"/>
      <c r="X6" s="42"/>
    </row>
    <row r="7">
      <c r="B7" s="6" t="s">
        <v>19</v>
      </c>
      <c r="C7" s="6" t="s">
        <v>20</v>
      </c>
      <c r="D7" s="6" t="s">
        <v>21</v>
      </c>
      <c r="E7" s="6" t="s">
        <v>22</v>
      </c>
      <c r="F7" s="6" t="s">
        <v>17</v>
      </c>
      <c r="G7" s="6" t="s">
        <v>23</v>
      </c>
      <c r="H7" s="7">
        <v>44928.0</v>
      </c>
      <c r="I7" s="8">
        <v>341.0</v>
      </c>
      <c r="J7" s="8">
        <v>467.92</v>
      </c>
      <c r="K7" s="8">
        <v>139.84</v>
      </c>
      <c r="L7" s="27">
        <f t="shared" si="1"/>
        <v>159560.72</v>
      </c>
      <c r="M7" s="27">
        <f t="shared" si="2"/>
        <v>111875.28</v>
      </c>
      <c r="N7" s="27">
        <f t="shared" si="3"/>
        <v>349</v>
      </c>
      <c r="P7" s="43"/>
      <c r="Q7" s="33" t="s">
        <v>471</v>
      </c>
      <c r="R7" s="44"/>
      <c r="S7" s="44"/>
      <c r="T7" s="44"/>
      <c r="U7" s="44"/>
      <c r="V7" s="44"/>
      <c r="W7" s="42"/>
      <c r="X7" s="42"/>
    </row>
    <row r="8">
      <c r="B8" s="6" t="s">
        <v>25</v>
      </c>
      <c r="C8" s="6" t="s">
        <v>26</v>
      </c>
      <c r="D8" s="6" t="s">
        <v>21</v>
      </c>
      <c r="E8" s="6" t="s">
        <v>27</v>
      </c>
      <c r="F8" s="6" t="s">
        <v>28</v>
      </c>
      <c r="G8" s="6" t="s">
        <v>18</v>
      </c>
      <c r="H8" s="7">
        <v>44929.0</v>
      </c>
      <c r="I8" s="8">
        <v>179.0</v>
      </c>
      <c r="J8" s="8">
        <v>473.94</v>
      </c>
      <c r="K8" s="8">
        <v>97.14</v>
      </c>
      <c r="L8" s="27">
        <f t="shared" si="1"/>
        <v>84835.26</v>
      </c>
      <c r="M8" s="27">
        <f t="shared" si="2"/>
        <v>67447.2</v>
      </c>
      <c r="N8" s="27">
        <f t="shared" si="3"/>
        <v>348</v>
      </c>
      <c r="P8" s="43"/>
      <c r="Q8" s="44"/>
      <c r="R8" s="44"/>
      <c r="S8" s="44"/>
      <c r="T8" s="44"/>
      <c r="U8" s="44"/>
      <c r="V8" s="44"/>
      <c r="W8" s="42"/>
      <c r="X8" s="42"/>
    </row>
    <row r="9">
      <c r="B9" s="6" t="s">
        <v>30</v>
      </c>
      <c r="C9" s="6" t="s">
        <v>14</v>
      </c>
      <c r="D9" s="6" t="s">
        <v>31</v>
      </c>
      <c r="E9" s="6" t="s">
        <v>32</v>
      </c>
      <c r="F9" s="6" t="s">
        <v>28</v>
      </c>
      <c r="G9" s="6" t="s">
        <v>33</v>
      </c>
      <c r="H9" s="7">
        <v>44930.0</v>
      </c>
      <c r="I9" s="8">
        <v>18.0</v>
      </c>
      <c r="J9" s="8">
        <v>314.53</v>
      </c>
      <c r="K9" s="8">
        <v>204.87</v>
      </c>
      <c r="L9" s="27">
        <f t="shared" si="1"/>
        <v>5661.54</v>
      </c>
      <c r="M9" s="27">
        <f t="shared" si="2"/>
        <v>1973.88</v>
      </c>
      <c r="N9" s="27">
        <f t="shared" si="3"/>
        <v>347</v>
      </c>
      <c r="P9" s="43"/>
      <c r="Q9" s="33" t="s">
        <v>472</v>
      </c>
      <c r="R9" s="44"/>
      <c r="S9" s="44"/>
      <c r="T9" s="44"/>
      <c r="U9" s="44"/>
      <c r="V9" s="44"/>
      <c r="W9" s="42"/>
      <c r="X9" s="42"/>
    </row>
    <row r="10">
      <c r="B10" s="6" t="s">
        <v>36</v>
      </c>
      <c r="C10" s="6" t="s">
        <v>14</v>
      </c>
      <c r="D10" s="6" t="s">
        <v>21</v>
      </c>
      <c r="E10" s="6" t="s">
        <v>32</v>
      </c>
      <c r="F10" s="6" t="s">
        <v>28</v>
      </c>
      <c r="G10" s="6" t="s">
        <v>33</v>
      </c>
      <c r="H10" s="7">
        <v>44931.0</v>
      </c>
      <c r="I10" s="8">
        <v>472.0</v>
      </c>
      <c r="J10" s="8">
        <v>392.79</v>
      </c>
      <c r="K10" s="8">
        <v>330.46</v>
      </c>
      <c r="L10" s="27">
        <f t="shared" si="1"/>
        <v>185396.88</v>
      </c>
      <c r="M10" s="27">
        <f t="shared" si="2"/>
        <v>29419.76</v>
      </c>
      <c r="N10" s="27">
        <f t="shared" si="3"/>
        <v>346</v>
      </c>
      <c r="P10" s="43"/>
      <c r="Q10" s="33" t="s">
        <v>473</v>
      </c>
      <c r="R10" s="44"/>
      <c r="S10" s="44"/>
      <c r="T10" s="44"/>
      <c r="U10" s="44"/>
      <c r="V10" s="44"/>
      <c r="W10" s="42"/>
      <c r="X10" s="42"/>
    </row>
    <row r="11">
      <c r="B11" s="6" t="s">
        <v>38</v>
      </c>
      <c r="C11" s="6" t="s">
        <v>20</v>
      </c>
      <c r="D11" s="6" t="s">
        <v>39</v>
      </c>
      <c r="E11" s="6" t="s">
        <v>27</v>
      </c>
      <c r="F11" s="6" t="s">
        <v>17</v>
      </c>
      <c r="G11" s="6" t="s">
        <v>18</v>
      </c>
      <c r="H11" s="7">
        <v>44932.0</v>
      </c>
      <c r="I11" s="8">
        <v>49.0</v>
      </c>
      <c r="J11" s="8">
        <v>308.07</v>
      </c>
      <c r="K11" s="8">
        <v>113.32</v>
      </c>
      <c r="L11" s="27">
        <f t="shared" si="1"/>
        <v>15095.43</v>
      </c>
      <c r="M11" s="27">
        <f t="shared" si="2"/>
        <v>9542.75</v>
      </c>
      <c r="N11" s="27">
        <f t="shared" si="3"/>
        <v>345</v>
      </c>
      <c r="P11" s="43"/>
      <c r="Q11" s="44"/>
      <c r="R11" s="44"/>
      <c r="S11" s="44"/>
      <c r="T11" s="44"/>
      <c r="U11" s="44"/>
      <c r="V11" s="44"/>
      <c r="W11" s="42"/>
      <c r="X11" s="42"/>
    </row>
    <row r="12">
      <c r="B12" s="6" t="s">
        <v>42</v>
      </c>
      <c r="C12" s="6" t="s">
        <v>26</v>
      </c>
      <c r="D12" s="6" t="s">
        <v>15</v>
      </c>
      <c r="E12" s="6" t="s">
        <v>27</v>
      </c>
      <c r="F12" s="6" t="s">
        <v>17</v>
      </c>
      <c r="G12" s="6" t="s">
        <v>23</v>
      </c>
      <c r="H12" s="7">
        <v>44933.0</v>
      </c>
      <c r="I12" s="8">
        <v>34.0</v>
      </c>
      <c r="J12" s="8">
        <v>244.78</v>
      </c>
      <c r="K12" s="8">
        <v>377.07</v>
      </c>
      <c r="L12" s="27">
        <f t="shared" si="1"/>
        <v>8322.52</v>
      </c>
      <c r="M12" s="27">
        <f t="shared" si="2"/>
        <v>-4497.86</v>
      </c>
      <c r="N12" s="27">
        <f t="shared" si="3"/>
        <v>344</v>
      </c>
      <c r="P12" s="43"/>
      <c r="Q12" s="33" t="s">
        <v>474</v>
      </c>
      <c r="R12" s="44"/>
      <c r="S12" s="44"/>
      <c r="T12" s="44"/>
      <c r="U12" s="44"/>
      <c r="V12" s="44"/>
      <c r="W12" s="42"/>
      <c r="X12" s="42"/>
    </row>
    <row r="13">
      <c r="B13" s="6" t="s">
        <v>44</v>
      </c>
      <c r="C13" s="6" t="s">
        <v>26</v>
      </c>
      <c r="D13" s="6" t="s">
        <v>21</v>
      </c>
      <c r="E13" s="6" t="s">
        <v>16</v>
      </c>
      <c r="F13" s="6" t="s">
        <v>17</v>
      </c>
      <c r="G13" s="6" t="s">
        <v>18</v>
      </c>
      <c r="H13" s="7">
        <v>44934.0</v>
      </c>
      <c r="I13" s="8">
        <v>270.0</v>
      </c>
      <c r="J13" s="8">
        <v>332.11</v>
      </c>
      <c r="K13" s="8">
        <v>349.59</v>
      </c>
      <c r="L13" s="27">
        <f t="shared" si="1"/>
        <v>89669.7</v>
      </c>
      <c r="M13" s="27">
        <f t="shared" si="2"/>
        <v>-4719.6</v>
      </c>
      <c r="N13" s="27">
        <f t="shared" si="3"/>
        <v>343</v>
      </c>
      <c r="P13" s="43"/>
      <c r="Q13" s="44"/>
      <c r="R13" s="44"/>
      <c r="S13" s="44"/>
      <c r="T13" s="44"/>
      <c r="U13" s="44"/>
      <c r="V13" s="44"/>
      <c r="W13" s="42"/>
      <c r="X13" s="42"/>
    </row>
    <row r="14">
      <c r="B14" s="6" t="s">
        <v>45</v>
      </c>
      <c r="C14" s="6" t="s">
        <v>14</v>
      </c>
      <c r="D14" s="6" t="s">
        <v>21</v>
      </c>
      <c r="E14" s="6" t="s">
        <v>16</v>
      </c>
      <c r="F14" s="6" t="s">
        <v>17</v>
      </c>
      <c r="G14" s="6" t="s">
        <v>23</v>
      </c>
      <c r="H14" s="7">
        <v>44935.0</v>
      </c>
      <c r="I14" s="8">
        <v>404.0</v>
      </c>
      <c r="J14" s="8">
        <v>278.74</v>
      </c>
      <c r="K14" s="8">
        <v>66.38</v>
      </c>
      <c r="L14" s="27">
        <f t="shared" si="1"/>
        <v>112610.96</v>
      </c>
      <c r="M14" s="27">
        <f t="shared" si="2"/>
        <v>85793.44</v>
      </c>
      <c r="N14" s="27">
        <f t="shared" si="3"/>
        <v>342</v>
      </c>
      <c r="P14" s="43"/>
      <c r="Q14" s="33" t="s">
        <v>475</v>
      </c>
      <c r="R14" s="44"/>
      <c r="S14" s="44"/>
      <c r="T14" s="44"/>
      <c r="U14" s="44"/>
      <c r="V14" s="44"/>
      <c r="W14" s="42"/>
      <c r="X14" s="42"/>
    </row>
    <row r="15">
      <c r="B15" s="6" t="s">
        <v>47</v>
      </c>
      <c r="C15" s="6"/>
      <c r="D15" s="6" t="s">
        <v>31</v>
      </c>
      <c r="E15" s="6" t="s">
        <v>32</v>
      </c>
      <c r="F15" s="6" t="s">
        <v>17</v>
      </c>
      <c r="G15" s="6" t="s">
        <v>33</v>
      </c>
      <c r="H15" s="7">
        <v>44936.0</v>
      </c>
      <c r="I15" s="8">
        <v>452.0</v>
      </c>
      <c r="J15" s="8">
        <v>300.75</v>
      </c>
      <c r="K15" s="8">
        <v>314.94</v>
      </c>
      <c r="L15" s="27">
        <f t="shared" si="1"/>
        <v>135939</v>
      </c>
      <c r="M15" s="27">
        <f t="shared" si="2"/>
        <v>-6413.88</v>
      </c>
      <c r="N15" s="27">
        <f t="shared" si="3"/>
        <v>341</v>
      </c>
      <c r="P15" s="43"/>
      <c r="Q15" s="33" t="s">
        <v>476</v>
      </c>
      <c r="R15" s="44"/>
      <c r="S15" s="44"/>
      <c r="T15" s="44"/>
      <c r="U15" s="44"/>
      <c r="V15" s="44"/>
      <c r="W15" s="42"/>
      <c r="X15" s="42"/>
    </row>
    <row r="16">
      <c r="B16" s="6" t="s">
        <v>49</v>
      </c>
      <c r="C16" s="6" t="s">
        <v>14</v>
      </c>
      <c r="D16" s="6" t="s">
        <v>31</v>
      </c>
      <c r="E16" s="6" t="s">
        <v>22</v>
      </c>
      <c r="F16" s="6" t="s">
        <v>17</v>
      </c>
      <c r="G16" s="6" t="s">
        <v>23</v>
      </c>
      <c r="H16" s="7">
        <v>44937.0</v>
      </c>
      <c r="I16" s="8">
        <v>235.0</v>
      </c>
      <c r="J16" s="8">
        <v>393.0</v>
      </c>
      <c r="K16" s="8">
        <v>230.69</v>
      </c>
      <c r="L16" s="27">
        <f t="shared" si="1"/>
        <v>92355</v>
      </c>
      <c r="M16" s="27">
        <f t="shared" si="2"/>
        <v>38142.85</v>
      </c>
      <c r="N16" s="27">
        <f t="shared" si="3"/>
        <v>340</v>
      </c>
      <c r="P16" s="43"/>
      <c r="Q16" s="33" t="s">
        <v>477</v>
      </c>
      <c r="R16" s="44"/>
      <c r="S16" s="44"/>
      <c r="T16" s="44"/>
      <c r="U16" s="44"/>
      <c r="V16" s="44"/>
      <c r="W16" s="42"/>
      <c r="X16" s="42"/>
    </row>
    <row r="17">
      <c r="B17" s="6" t="s">
        <v>50</v>
      </c>
      <c r="C17" s="6" t="s">
        <v>14</v>
      </c>
      <c r="D17" s="6" t="s">
        <v>39</v>
      </c>
      <c r="E17" s="6" t="s">
        <v>32</v>
      </c>
      <c r="F17" s="6" t="s">
        <v>28</v>
      </c>
      <c r="G17" s="6" t="s">
        <v>33</v>
      </c>
      <c r="H17" s="7">
        <v>44938.0</v>
      </c>
      <c r="I17" s="8">
        <v>481.0</v>
      </c>
      <c r="J17" s="8">
        <v>243.05</v>
      </c>
      <c r="K17" s="8">
        <v>227.5</v>
      </c>
      <c r="L17" s="27">
        <f t="shared" si="1"/>
        <v>116907.05</v>
      </c>
      <c r="M17" s="27">
        <f t="shared" si="2"/>
        <v>7479.55</v>
      </c>
      <c r="N17" s="27">
        <f t="shared" si="3"/>
        <v>339</v>
      </c>
      <c r="P17" s="43"/>
      <c r="Q17" s="33" t="s">
        <v>478</v>
      </c>
      <c r="R17" s="44"/>
      <c r="S17" s="44"/>
      <c r="T17" s="44"/>
      <c r="U17" s="44"/>
      <c r="V17" s="44"/>
      <c r="W17" s="42"/>
      <c r="X17" s="42"/>
    </row>
    <row r="18">
      <c r="B18" s="6" t="s">
        <v>51</v>
      </c>
      <c r="C18" s="6" t="s">
        <v>14</v>
      </c>
      <c r="D18" s="6" t="s">
        <v>15</v>
      </c>
      <c r="E18" s="6" t="s">
        <v>22</v>
      </c>
      <c r="F18" s="6" t="s">
        <v>28</v>
      </c>
      <c r="G18" s="6" t="s">
        <v>23</v>
      </c>
      <c r="H18" s="7">
        <v>44939.0</v>
      </c>
      <c r="I18" s="8">
        <v>133.0</v>
      </c>
      <c r="J18" s="8">
        <v>25.17</v>
      </c>
      <c r="K18" s="8">
        <v>157.64</v>
      </c>
      <c r="L18" s="27">
        <f t="shared" si="1"/>
        <v>3347.61</v>
      </c>
      <c r="M18" s="27">
        <f t="shared" si="2"/>
        <v>-17618.51</v>
      </c>
      <c r="N18" s="27">
        <f t="shared" si="3"/>
        <v>338</v>
      </c>
      <c r="P18" s="43"/>
      <c r="Q18" s="44"/>
      <c r="R18" s="44"/>
      <c r="S18" s="44"/>
      <c r="T18" s="44"/>
      <c r="U18" s="44"/>
      <c r="V18" s="44"/>
      <c r="W18" s="42"/>
      <c r="X18" s="42"/>
    </row>
    <row r="19">
      <c r="B19" s="6" t="s">
        <v>52</v>
      </c>
      <c r="C19" s="6" t="s">
        <v>14</v>
      </c>
      <c r="D19" s="6" t="s">
        <v>31</v>
      </c>
      <c r="E19" s="6" t="s">
        <v>22</v>
      </c>
      <c r="F19" s="6" t="s">
        <v>28</v>
      </c>
      <c r="G19" s="6" t="s">
        <v>23</v>
      </c>
      <c r="H19" s="7">
        <v>44940.0</v>
      </c>
      <c r="I19" s="8">
        <v>472.0</v>
      </c>
      <c r="J19" s="8">
        <v>86.18</v>
      </c>
      <c r="K19" s="8">
        <v>201.46</v>
      </c>
      <c r="L19" s="27">
        <f t="shared" si="1"/>
        <v>40676.96</v>
      </c>
      <c r="M19" s="27">
        <f t="shared" si="2"/>
        <v>-54412.16</v>
      </c>
      <c r="N19" s="27">
        <f t="shared" si="3"/>
        <v>337</v>
      </c>
      <c r="P19" s="43"/>
      <c r="Q19" s="33" t="s">
        <v>479</v>
      </c>
      <c r="R19" s="44"/>
      <c r="S19" s="44"/>
      <c r="T19" s="44"/>
      <c r="U19" s="44"/>
      <c r="V19" s="44"/>
      <c r="W19" s="42"/>
      <c r="X19" s="42"/>
    </row>
    <row r="20">
      <c r="B20" s="6" t="s">
        <v>53</v>
      </c>
      <c r="C20" s="6" t="s">
        <v>20</v>
      </c>
      <c r="D20" s="6" t="s">
        <v>21</v>
      </c>
      <c r="E20" s="6" t="s">
        <v>16</v>
      </c>
      <c r="F20" s="6" t="s">
        <v>28</v>
      </c>
      <c r="G20" s="6" t="s">
        <v>23</v>
      </c>
      <c r="H20" s="7">
        <v>44941.0</v>
      </c>
      <c r="I20" s="8">
        <v>47.0</v>
      </c>
      <c r="J20" s="8">
        <v>222.11</v>
      </c>
      <c r="K20" s="8">
        <v>160.08</v>
      </c>
      <c r="L20" s="27">
        <f t="shared" si="1"/>
        <v>10439.17</v>
      </c>
      <c r="M20" s="27">
        <f t="shared" si="2"/>
        <v>2915.41</v>
      </c>
      <c r="N20" s="27">
        <f t="shared" si="3"/>
        <v>336</v>
      </c>
      <c r="P20" s="43"/>
      <c r="Q20" s="33" t="s">
        <v>480</v>
      </c>
      <c r="R20" s="44"/>
      <c r="S20" s="44"/>
      <c r="T20" s="44"/>
      <c r="U20" s="44"/>
      <c r="V20" s="44"/>
      <c r="W20" s="42"/>
      <c r="X20" s="42"/>
    </row>
    <row r="21">
      <c r="B21" s="6" t="s">
        <v>54</v>
      </c>
      <c r="C21" s="6" t="s">
        <v>26</v>
      </c>
      <c r="D21" s="6" t="s">
        <v>15</v>
      </c>
      <c r="E21" s="6" t="s">
        <v>55</v>
      </c>
      <c r="F21" s="6" t="s">
        <v>17</v>
      </c>
      <c r="G21" s="6" t="s">
        <v>18</v>
      </c>
      <c r="H21" s="7">
        <v>44942.0</v>
      </c>
      <c r="I21" s="8">
        <v>337.0</v>
      </c>
      <c r="J21" s="8">
        <v>363.79</v>
      </c>
      <c r="K21" s="8">
        <v>216.81</v>
      </c>
      <c r="L21" s="27">
        <f t="shared" si="1"/>
        <v>122597.23</v>
      </c>
      <c r="M21" s="27">
        <f t="shared" si="2"/>
        <v>49532.26</v>
      </c>
      <c r="N21" s="27">
        <f t="shared" si="3"/>
        <v>335</v>
      </c>
      <c r="P21" s="43"/>
      <c r="Q21" s="44"/>
      <c r="R21" s="44"/>
      <c r="S21" s="44"/>
      <c r="T21" s="44"/>
      <c r="U21" s="44"/>
      <c r="V21" s="44"/>
      <c r="W21" s="42"/>
      <c r="X21" s="42"/>
    </row>
    <row r="22">
      <c r="B22" s="6" t="s">
        <v>56</v>
      </c>
      <c r="C22" s="6" t="s">
        <v>20</v>
      </c>
      <c r="D22" s="6" t="s">
        <v>15</v>
      </c>
      <c r="E22" s="6" t="s">
        <v>55</v>
      </c>
      <c r="F22" s="6" t="s">
        <v>17</v>
      </c>
      <c r="G22" s="6" t="s">
        <v>18</v>
      </c>
      <c r="H22" s="7">
        <v>44943.0</v>
      </c>
      <c r="I22" s="8">
        <v>260.0</v>
      </c>
      <c r="J22" s="8">
        <v>298.67</v>
      </c>
      <c r="K22" s="8">
        <v>251.92</v>
      </c>
      <c r="L22" s="27">
        <f t="shared" si="1"/>
        <v>77654.2</v>
      </c>
      <c r="M22" s="27">
        <f t="shared" si="2"/>
        <v>12155</v>
      </c>
      <c r="N22" s="27">
        <f t="shared" si="3"/>
        <v>334</v>
      </c>
      <c r="P22" s="43"/>
      <c r="Q22" s="33" t="s">
        <v>481</v>
      </c>
      <c r="R22" s="44"/>
      <c r="S22" s="44"/>
      <c r="T22" s="44"/>
      <c r="U22" s="44"/>
      <c r="V22" s="44"/>
      <c r="W22" s="42"/>
      <c r="X22" s="42"/>
    </row>
    <row r="23">
      <c r="B23" s="6" t="s">
        <v>57</v>
      </c>
      <c r="C23" s="6"/>
      <c r="D23" s="6" t="s">
        <v>21</v>
      </c>
      <c r="E23" s="6" t="s">
        <v>27</v>
      </c>
      <c r="F23" s="6" t="s">
        <v>28</v>
      </c>
      <c r="G23" s="6" t="s">
        <v>33</v>
      </c>
      <c r="H23" s="7">
        <v>44944.0</v>
      </c>
      <c r="I23" s="8">
        <v>398.0</v>
      </c>
      <c r="J23" s="8">
        <v>326.9</v>
      </c>
      <c r="K23" s="8">
        <v>270.37</v>
      </c>
      <c r="L23" s="27">
        <f t="shared" si="1"/>
        <v>130106.2</v>
      </c>
      <c r="M23" s="27">
        <f t="shared" si="2"/>
        <v>22498.94</v>
      </c>
      <c r="N23" s="27">
        <f t="shared" si="3"/>
        <v>333</v>
      </c>
      <c r="P23" s="43"/>
      <c r="Q23" s="33" t="s">
        <v>482</v>
      </c>
      <c r="R23" s="44"/>
      <c r="S23" s="44"/>
      <c r="T23" s="44"/>
      <c r="U23" s="44"/>
      <c r="V23" s="44"/>
      <c r="W23" s="42"/>
      <c r="X23" s="42"/>
    </row>
    <row r="24">
      <c r="B24" s="6" t="s">
        <v>58</v>
      </c>
      <c r="C24" s="6" t="s">
        <v>20</v>
      </c>
      <c r="D24" s="6" t="s">
        <v>31</v>
      </c>
      <c r="E24" s="6" t="s">
        <v>16</v>
      </c>
      <c r="F24" s="6" t="s">
        <v>17</v>
      </c>
      <c r="G24" s="6" t="s">
        <v>33</v>
      </c>
      <c r="H24" s="7">
        <v>44945.0</v>
      </c>
      <c r="I24" s="8">
        <v>185.0</v>
      </c>
      <c r="J24" s="8">
        <v>242.24</v>
      </c>
      <c r="K24" s="8">
        <v>213.93</v>
      </c>
      <c r="L24" s="27">
        <f t="shared" si="1"/>
        <v>44814.4</v>
      </c>
      <c r="M24" s="27">
        <f t="shared" si="2"/>
        <v>5237.35</v>
      </c>
      <c r="N24" s="27">
        <f t="shared" si="3"/>
        <v>332</v>
      </c>
      <c r="P24" s="43"/>
      <c r="Q24" s="33" t="s">
        <v>481</v>
      </c>
      <c r="R24" s="44"/>
      <c r="S24" s="44"/>
      <c r="T24" s="44"/>
      <c r="U24" s="44"/>
      <c r="V24" s="44"/>
      <c r="W24" s="42"/>
      <c r="X24" s="42"/>
    </row>
    <row r="25">
      <c r="B25" s="6" t="s">
        <v>59</v>
      </c>
      <c r="C25" s="6" t="s">
        <v>14</v>
      </c>
      <c r="D25" s="6" t="s">
        <v>21</v>
      </c>
      <c r="E25" s="6" t="s">
        <v>22</v>
      </c>
      <c r="F25" s="6" t="s">
        <v>28</v>
      </c>
      <c r="G25" s="6" t="s">
        <v>18</v>
      </c>
      <c r="H25" s="7">
        <v>44946.0</v>
      </c>
      <c r="I25" s="8">
        <v>99.0</v>
      </c>
      <c r="J25" s="8">
        <v>309.79</v>
      </c>
      <c r="K25" s="8">
        <v>289.13</v>
      </c>
      <c r="L25" s="27">
        <f t="shared" si="1"/>
        <v>30669.21</v>
      </c>
      <c r="M25" s="27">
        <f t="shared" si="2"/>
        <v>2045.34</v>
      </c>
      <c r="N25" s="27">
        <f t="shared" si="3"/>
        <v>331</v>
      </c>
      <c r="P25" s="43"/>
      <c r="Q25" s="33" t="s">
        <v>483</v>
      </c>
      <c r="R25" s="44"/>
      <c r="S25" s="44"/>
      <c r="T25" s="44"/>
      <c r="U25" s="44"/>
      <c r="V25" s="44"/>
      <c r="W25" s="42"/>
      <c r="X25" s="42"/>
    </row>
    <row r="26">
      <c r="B26" s="6" t="s">
        <v>60</v>
      </c>
      <c r="C26" s="6" t="s">
        <v>61</v>
      </c>
      <c r="D26" s="6" t="s">
        <v>15</v>
      </c>
      <c r="E26" s="6" t="s">
        <v>55</v>
      </c>
      <c r="F26" s="6" t="s">
        <v>28</v>
      </c>
      <c r="G26" s="6" t="s">
        <v>33</v>
      </c>
      <c r="H26" s="7">
        <v>44947.0</v>
      </c>
      <c r="I26" s="8">
        <v>411.0</v>
      </c>
      <c r="J26" s="8">
        <v>167.86</v>
      </c>
      <c r="K26" s="8">
        <v>58.23</v>
      </c>
      <c r="L26" s="27">
        <f t="shared" si="1"/>
        <v>68990.46</v>
      </c>
      <c r="M26" s="27">
        <f t="shared" si="2"/>
        <v>45057.93</v>
      </c>
      <c r="N26" s="27">
        <f t="shared" si="3"/>
        <v>330</v>
      </c>
      <c r="P26" s="43"/>
      <c r="Q26" s="33" t="s">
        <v>481</v>
      </c>
      <c r="R26" s="44"/>
      <c r="S26" s="44"/>
      <c r="T26" s="44"/>
      <c r="U26" s="44"/>
      <c r="V26" s="44"/>
      <c r="W26" s="42"/>
      <c r="X26" s="42"/>
    </row>
    <row r="27">
      <c r="B27" s="6" t="s">
        <v>62</v>
      </c>
      <c r="C27" s="6" t="s">
        <v>26</v>
      </c>
      <c r="D27" s="6" t="s">
        <v>63</v>
      </c>
      <c r="E27" s="6" t="s">
        <v>22</v>
      </c>
      <c r="F27" s="6" t="s">
        <v>28</v>
      </c>
      <c r="G27" s="6" t="s">
        <v>18</v>
      </c>
      <c r="H27" s="7">
        <v>44948.0</v>
      </c>
      <c r="I27" s="8">
        <v>463.0</v>
      </c>
      <c r="J27" s="8">
        <v>237.74</v>
      </c>
      <c r="K27" s="8">
        <v>86.37</v>
      </c>
      <c r="L27" s="27">
        <f t="shared" si="1"/>
        <v>110073.62</v>
      </c>
      <c r="M27" s="27">
        <f t="shared" si="2"/>
        <v>70084.31</v>
      </c>
      <c r="N27" s="27">
        <f t="shared" si="3"/>
        <v>329</v>
      </c>
      <c r="P27" s="43"/>
      <c r="Q27" s="33" t="s">
        <v>484</v>
      </c>
      <c r="R27" s="44"/>
      <c r="S27" s="44"/>
      <c r="T27" s="44"/>
      <c r="U27" s="44"/>
      <c r="V27" s="44"/>
      <c r="W27" s="42"/>
      <c r="X27" s="42"/>
    </row>
    <row r="28">
      <c r="B28" s="6" t="s">
        <v>64</v>
      </c>
      <c r="C28" s="6" t="s">
        <v>61</v>
      </c>
      <c r="D28" s="6" t="s">
        <v>63</v>
      </c>
      <c r="E28" s="6" t="s">
        <v>55</v>
      </c>
      <c r="F28" s="6" t="s">
        <v>17</v>
      </c>
      <c r="G28" s="6" t="s">
        <v>23</v>
      </c>
      <c r="H28" s="7">
        <v>44949.0</v>
      </c>
      <c r="I28" s="8">
        <v>46.0</v>
      </c>
      <c r="J28" s="8">
        <v>373.42</v>
      </c>
      <c r="K28" s="8">
        <v>327.86</v>
      </c>
      <c r="L28" s="27">
        <f t="shared" si="1"/>
        <v>17177.32</v>
      </c>
      <c r="M28" s="27">
        <f t="shared" si="2"/>
        <v>2095.76</v>
      </c>
      <c r="N28" s="27">
        <f t="shared" si="3"/>
        <v>328</v>
      </c>
      <c r="P28" s="43"/>
      <c r="Q28" s="33" t="s">
        <v>485</v>
      </c>
      <c r="R28" s="44"/>
      <c r="S28" s="44"/>
      <c r="T28" s="44"/>
      <c r="U28" s="44"/>
      <c r="V28" s="44"/>
      <c r="W28" s="42"/>
      <c r="X28" s="42"/>
    </row>
    <row r="29">
      <c r="B29" s="6" t="s">
        <v>65</v>
      </c>
      <c r="C29" s="6" t="s">
        <v>20</v>
      </c>
      <c r="D29" s="6" t="s">
        <v>39</v>
      </c>
      <c r="E29" s="6" t="s">
        <v>55</v>
      </c>
      <c r="F29" s="6" t="s">
        <v>28</v>
      </c>
      <c r="G29" s="6" t="s">
        <v>33</v>
      </c>
      <c r="H29" s="7">
        <v>44950.0</v>
      </c>
      <c r="I29" s="8">
        <v>325.0</v>
      </c>
      <c r="J29" s="8">
        <v>436.56</v>
      </c>
      <c r="K29" s="8">
        <v>130.37</v>
      </c>
      <c r="L29" s="27">
        <f t="shared" si="1"/>
        <v>141882</v>
      </c>
      <c r="M29" s="27">
        <f t="shared" si="2"/>
        <v>99511.75</v>
      </c>
      <c r="N29" s="27">
        <f t="shared" si="3"/>
        <v>327</v>
      </c>
      <c r="P29" s="43"/>
      <c r="Q29" s="33" t="s">
        <v>486</v>
      </c>
      <c r="R29" s="44"/>
      <c r="S29" s="44"/>
      <c r="T29" s="44"/>
      <c r="U29" s="44"/>
      <c r="V29" s="44"/>
      <c r="W29" s="42"/>
      <c r="X29" s="42"/>
    </row>
    <row r="30">
      <c r="B30" s="6" t="s">
        <v>66</v>
      </c>
      <c r="C30" s="6" t="s">
        <v>20</v>
      </c>
      <c r="D30" s="6" t="s">
        <v>21</v>
      </c>
      <c r="E30" s="6"/>
      <c r="F30" s="6" t="s">
        <v>28</v>
      </c>
      <c r="G30" s="6" t="s">
        <v>33</v>
      </c>
      <c r="H30" s="7">
        <v>44951.0</v>
      </c>
      <c r="I30" s="8">
        <v>185.0</v>
      </c>
      <c r="J30" s="8">
        <v>219.66</v>
      </c>
      <c r="K30" s="8">
        <v>11.11</v>
      </c>
      <c r="L30" s="27">
        <f t="shared" si="1"/>
        <v>40637.1</v>
      </c>
      <c r="M30" s="27">
        <f t="shared" si="2"/>
        <v>38581.75</v>
      </c>
      <c r="N30" s="27">
        <f t="shared" si="3"/>
        <v>326</v>
      </c>
      <c r="P30" s="43"/>
      <c r="Q30" s="33" t="s">
        <v>481</v>
      </c>
      <c r="R30" s="44"/>
      <c r="S30" s="44"/>
      <c r="T30" s="44"/>
      <c r="U30" s="44"/>
      <c r="V30" s="44"/>
      <c r="W30" s="42"/>
      <c r="X30" s="42"/>
    </row>
    <row r="31">
      <c r="B31" s="6" t="s">
        <v>67</v>
      </c>
      <c r="C31" s="6" t="s">
        <v>61</v>
      </c>
      <c r="D31" s="6" t="s">
        <v>21</v>
      </c>
      <c r="E31" s="6" t="s">
        <v>16</v>
      </c>
      <c r="F31" s="6" t="s">
        <v>28</v>
      </c>
      <c r="G31" s="6" t="s">
        <v>18</v>
      </c>
      <c r="H31" s="7">
        <v>44952.0</v>
      </c>
      <c r="I31" s="8">
        <v>470.0</v>
      </c>
      <c r="J31" s="8">
        <v>26.61</v>
      </c>
      <c r="K31" s="8">
        <v>63.21</v>
      </c>
      <c r="L31" s="27">
        <f t="shared" si="1"/>
        <v>12506.7</v>
      </c>
      <c r="M31" s="27">
        <f t="shared" si="2"/>
        <v>-17202</v>
      </c>
      <c r="N31" s="27">
        <f t="shared" si="3"/>
        <v>325</v>
      </c>
      <c r="P31" s="43"/>
      <c r="Q31" s="44"/>
      <c r="R31" s="44"/>
      <c r="S31" s="44"/>
      <c r="T31" s="44"/>
      <c r="U31" s="44"/>
      <c r="V31" s="44"/>
      <c r="W31" s="42"/>
      <c r="X31" s="42"/>
    </row>
    <row r="32">
      <c r="B32" s="6" t="s">
        <v>68</v>
      </c>
      <c r="C32" s="6" t="s">
        <v>61</v>
      </c>
      <c r="D32" s="6" t="s">
        <v>39</v>
      </c>
      <c r="E32" s="6" t="s">
        <v>32</v>
      </c>
      <c r="F32" s="6" t="s">
        <v>17</v>
      </c>
      <c r="G32" s="6" t="s">
        <v>33</v>
      </c>
      <c r="H32" s="7">
        <v>44953.0</v>
      </c>
      <c r="I32" s="8">
        <v>293.0</v>
      </c>
      <c r="J32" s="8">
        <v>85.03</v>
      </c>
      <c r="K32" s="8">
        <v>91.0</v>
      </c>
      <c r="L32" s="27">
        <f t="shared" si="1"/>
        <v>24913.79</v>
      </c>
      <c r="M32" s="27">
        <f t="shared" si="2"/>
        <v>-1749.21</v>
      </c>
      <c r="N32" s="27">
        <f t="shared" si="3"/>
        <v>324</v>
      </c>
      <c r="P32" s="43"/>
      <c r="Q32" s="33" t="s">
        <v>487</v>
      </c>
      <c r="R32" s="44"/>
      <c r="S32" s="44"/>
      <c r="T32" s="44"/>
      <c r="U32" s="44"/>
      <c r="V32" s="44"/>
      <c r="W32" s="42"/>
      <c r="X32" s="42"/>
    </row>
    <row r="33">
      <c r="B33" s="6" t="s">
        <v>69</v>
      </c>
      <c r="C33" s="6" t="s">
        <v>61</v>
      </c>
      <c r="D33" s="6" t="s">
        <v>39</v>
      </c>
      <c r="E33" s="6" t="s">
        <v>22</v>
      </c>
      <c r="F33" s="6" t="s">
        <v>17</v>
      </c>
      <c r="G33" s="6" t="s">
        <v>33</v>
      </c>
      <c r="H33" s="7">
        <v>44954.0</v>
      </c>
      <c r="I33" s="8">
        <v>462.0</v>
      </c>
      <c r="J33" s="6"/>
      <c r="K33" s="8">
        <v>383.01</v>
      </c>
      <c r="L33" s="27" t="str">
        <f t="shared" si="1"/>
        <v/>
      </c>
      <c r="M33" s="27" t="str">
        <f t="shared" si="2"/>
        <v/>
      </c>
      <c r="N33" s="27">
        <f t="shared" si="3"/>
        <v>323</v>
      </c>
      <c r="P33" s="43"/>
      <c r="Q33" s="44"/>
      <c r="R33" s="44"/>
      <c r="S33" s="44"/>
      <c r="T33" s="44"/>
      <c r="U33" s="44"/>
      <c r="V33" s="44"/>
      <c r="W33" s="42"/>
      <c r="X33" s="42"/>
    </row>
    <row r="34">
      <c r="B34" s="6" t="s">
        <v>70</v>
      </c>
      <c r="C34" s="6" t="s">
        <v>20</v>
      </c>
      <c r="D34" s="6" t="s">
        <v>39</v>
      </c>
      <c r="E34" s="6" t="s">
        <v>16</v>
      </c>
      <c r="F34" s="6" t="s">
        <v>28</v>
      </c>
      <c r="G34" s="6" t="s">
        <v>23</v>
      </c>
      <c r="H34" s="7">
        <v>44955.0</v>
      </c>
      <c r="I34" s="8">
        <v>470.0</v>
      </c>
      <c r="J34" s="8">
        <v>328.37</v>
      </c>
      <c r="K34" s="8">
        <v>230.07</v>
      </c>
      <c r="L34" s="27">
        <f t="shared" si="1"/>
        <v>154333.9</v>
      </c>
      <c r="M34" s="27">
        <f t="shared" si="2"/>
        <v>46201</v>
      </c>
      <c r="N34" s="27">
        <f t="shared" si="3"/>
        <v>322</v>
      </c>
      <c r="P34" s="43"/>
      <c r="Q34" s="33" t="s">
        <v>488</v>
      </c>
      <c r="R34" s="44"/>
      <c r="S34" s="44"/>
      <c r="T34" s="44"/>
      <c r="U34" s="44"/>
      <c r="V34" s="44"/>
      <c r="W34" s="42"/>
      <c r="X34" s="42"/>
    </row>
    <row r="35">
      <c r="B35" s="6" t="s">
        <v>71</v>
      </c>
      <c r="C35" s="6" t="s">
        <v>20</v>
      </c>
      <c r="D35" s="6" t="s">
        <v>15</v>
      </c>
      <c r="E35" s="6" t="s">
        <v>16</v>
      </c>
      <c r="F35" s="6" t="s">
        <v>17</v>
      </c>
      <c r="G35" s="6" t="s">
        <v>33</v>
      </c>
      <c r="H35" s="7">
        <v>44956.0</v>
      </c>
      <c r="I35" s="8">
        <v>90.0</v>
      </c>
      <c r="J35" s="8">
        <v>169.5</v>
      </c>
      <c r="K35" s="8">
        <v>373.23</v>
      </c>
      <c r="L35" s="27">
        <f t="shared" si="1"/>
        <v>15255</v>
      </c>
      <c r="M35" s="27">
        <f t="shared" si="2"/>
        <v>-18335.7</v>
      </c>
      <c r="N35" s="27">
        <f t="shared" si="3"/>
        <v>321</v>
      </c>
      <c r="P35" s="43"/>
      <c r="Q35" s="33" t="s">
        <v>489</v>
      </c>
      <c r="R35" s="44"/>
      <c r="S35" s="44"/>
      <c r="T35" s="44"/>
      <c r="U35" s="44"/>
      <c r="V35" s="44"/>
      <c r="W35" s="42"/>
      <c r="X35" s="42"/>
    </row>
    <row r="36">
      <c r="B36" s="6" t="s">
        <v>72</v>
      </c>
      <c r="C36" s="6"/>
      <c r="D36" s="6" t="s">
        <v>21</v>
      </c>
      <c r="E36" s="6" t="s">
        <v>16</v>
      </c>
      <c r="F36" s="6" t="s">
        <v>17</v>
      </c>
      <c r="G36" s="6" t="s">
        <v>23</v>
      </c>
      <c r="H36" s="7">
        <v>44957.0</v>
      </c>
      <c r="I36" s="8">
        <v>123.0</v>
      </c>
      <c r="J36" s="8">
        <v>273.53</v>
      </c>
      <c r="K36" s="8">
        <v>230.92</v>
      </c>
      <c r="L36" s="27">
        <f t="shared" si="1"/>
        <v>33644.19</v>
      </c>
      <c r="M36" s="27">
        <f t="shared" si="2"/>
        <v>5241.03</v>
      </c>
      <c r="N36" s="27">
        <f t="shared" si="3"/>
        <v>320</v>
      </c>
      <c r="P36" s="43"/>
      <c r="Q36" s="44"/>
      <c r="R36" s="44"/>
      <c r="S36" s="44"/>
      <c r="T36" s="44"/>
      <c r="U36" s="44"/>
      <c r="V36" s="44"/>
      <c r="W36" s="42"/>
      <c r="X36" s="42"/>
    </row>
    <row r="37">
      <c r="B37" s="6" t="s">
        <v>73</v>
      </c>
      <c r="C37" s="6" t="s">
        <v>26</v>
      </c>
      <c r="D37" s="6" t="s">
        <v>15</v>
      </c>
      <c r="E37" s="6" t="s">
        <v>16</v>
      </c>
      <c r="F37" s="6" t="s">
        <v>17</v>
      </c>
      <c r="G37" s="6" t="s">
        <v>18</v>
      </c>
      <c r="H37" s="7">
        <v>44958.0</v>
      </c>
      <c r="I37" s="8">
        <v>49.0</v>
      </c>
      <c r="J37" s="8">
        <v>249.17</v>
      </c>
      <c r="K37" s="8">
        <v>192.78</v>
      </c>
      <c r="L37" s="27">
        <f t="shared" si="1"/>
        <v>12209.33</v>
      </c>
      <c r="M37" s="27">
        <f t="shared" si="2"/>
        <v>2763.11</v>
      </c>
      <c r="N37" s="27">
        <f t="shared" si="3"/>
        <v>319</v>
      </c>
      <c r="P37" s="43"/>
      <c r="Q37" s="43"/>
      <c r="R37" s="43"/>
      <c r="S37" s="43"/>
      <c r="T37" s="43"/>
      <c r="U37" s="43"/>
      <c r="V37" s="43"/>
    </row>
    <row r="38">
      <c r="B38" s="6" t="s">
        <v>74</v>
      </c>
      <c r="C38" s="6" t="s">
        <v>20</v>
      </c>
      <c r="D38" s="6" t="s">
        <v>39</v>
      </c>
      <c r="E38" s="6" t="s">
        <v>16</v>
      </c>
      <c r="F38" s="6" t="s">
        <v>17</v>
      </c>
      <c r="G38" s="6" t="s">
        <v>33</v>
      </c>
      <c r="H38" s="7">
        <v>44959.0</v>
      </c>
      <c r="I38" s="8">
        <v>310.0</v>
      </c>
      <c r="J38" s="8">
        <v>45.36</v>
      </c>
      <c r="K38" s="8">
        <v>126.86</v>
      </c>
      <c r="L38" s="27">
        <f t="shared" si="1"/>
        <v>14061.6</v>
      </c>
      <c r="M38" s="27">
        <f t="shared" si="2"/>
        <v>-25265</v>
      </c>
      <c r="N38" s="27">
        <f t="shared" si="3"/>
        <v>318</v>
      </c>
    </row>
    <row r="39">
      <c r="B39" s="6" t="s">
        <v>75</v>
      </c>
      <c r="C39" s="6" t="s">
        <v>61</v>
      </c>
      <c r="D39" s="6" t="s">
        <v>21</v>
      </c>
      <c r="E39" s="6" t="s">
        <v>27</v>
      </c>
      <c r="F39" s="6" t="s">
        <v>17</v>
      </c>
      <c r="G39" s="6" t="s">
        <v>23</v>
      </c>
      <c r="H39" s="7">
        <v>44960.0</v>
      </c>
      <c r="I39" s="8">
        <v>233.0</v>
      </c>
      <c r="J39" s="8">
        <v>204.61</v>
      </c>
      <c r="K39" s="8">
        <v>243.34</v>
      </c>
      <c r="L39" s="27">
        <f t="shared" si="1"/>
        <v>47674.13</v>
      </c>
      <c r="M39" s="27">
        <f t="shared" si="2"/>
        <v>-9024.09</v>
      </c>
      <c r="N39" s="27">
        <f t="shared" si="3"/>
        <v>317</v>
      </c>
    </row>
    <row r="40">
      <c r="B40" s="6" t="s">
        <v>76</v>
      </c>
      <c r="C40" s="6" t="s">
        <v>61</v>
      </c>
      <c r="D40" s="6" t="s">
        <v>15</v>
      </c>
      <c r="E40" s="6" t="s">
        <v>22</v>
      </c>
      <c r="F40" s="6" t="s">
        <v>17</v>
      </c>
      <c r="G40" s="6" t="s">
        <v>18</v>
      </c>
      <c r="H40" s="7">
        <v>44961.0</v>
      </c>
      <c r="I40" s="8">
        <v>327.0</v>
      </c>
      <c r="J40" s="8">
        <v>114.18</v>
      </c>
      <c r="K40" s="8">
        <v>57.4</v>
      </c>
      <c r="L40" s="27">
        <f t="shared" si="1"/>
        <v>37336.86</v>
      </c>
      <c r="M40" s="27">
        <f t="shared" si="2"/>
        <v>18567.06</v>
      </c>
      <c r="N40" s="27">
        <f t="shared" si="3"/>
        <v>316</v>
      </c>
    </row>
    <row r="41">
      <c r="B41" s="6" t="s">
        <v>77</v>
      </c>
      <c r="C41" s="6" t="s">
        <v>26</v>
      </c>
      <c r="D41" s="6" t="s">
        <v>15</v>
      </c>
      <c r="E41" s="6" t="s">
        <v>16</v>
      </c>
      <c r="F41" s="6" t="s">
        <v>17</v>
      </c>
      <c r="G41" s="6" t="s">
        <v>33</v>
      </c>
      <c r="H41" s="7">
        <v>44962.0</v>
      </c>
      <c r="I41" s="8">
        <v>358.0</v>
      </c>
      <c r="J41" s="8">
        <v>212.11</v>
      </c>
      <c r="K41" s="8">
        <v>359.51</v>
      </c>
      <c r="L41" s="27">
        <f t="shared" si="1"/>
        <v>75935.38</v>
      </c>
      <c r="M41" s="27">
        <f t="shared" si="2"/>
        <v>-52769.2</v>
      </c>
      <c r="N41" s="27">
        <f t="shared" si="3"/>
        <v>315</v>
      </c>
    </row>
    <row r="42">
      <c r="B42" s="6" t="s">
        <v>78</v>
      </c>
      <c r="C42" s="6" t="s">
        <v>20</v>
      </c>
      <c r="D42" s="6" t="s">
        <v>39</v>
      </c>
      <c r="E42" s="6" t="s">
        <v>22</v>
      </c>
      <c r="F42" s="6" t="s">
        <v>17</v>
      </c>
      <c r="G42" s="6" t="s">
        <v>18</v>
      </c>
      <c r="H42" s="7">
        <v>44963.0</v>
      </c>
      <c r="I42" s="8">
        <v>124.0</v>
      </c>
      <c r="J42" s="6"/>
      <c r="K42" s="8">
        <v>332.07</v>
      </c>
      <c r="L42" s="27" t="str">
        <f t="shared" si="1"/>
        <v/>
      </c>
      <c r="M42" s="27" t="str">
        <f t="shared" si="2"/>
        <v/>
      </c>
      <c r="N42" s="27">
        <f t="shared" si="3"/>
        <v>314</v>
      </c>
    </row>
    <row r="43">
      <c r="B43" s="6" t="s">
        <v>79</v>
      </c>
      <c r="C43" s="6" t="s">
        <v>26</v>
      </c>
      <c r="D43" s="6" t="s">
        <v>21</v>
      </c>
      <c r="E43" s="6" t="s">
        <v>27</v>
      </c>
      <c r="F43" s="6" t="s">
        <v>17</v>
      </c>
      <c r="G43" s="6" t="s">
        <v>33</v>
      </c>
      <c r="H43" s="7">
        <v>44964.0</v>
      </c>
      <c r="I43" s="8">
        <v>195.0</v>
      </c>
      <c r="J43" s="8">
        <v>421.02</v>
      </c>
      <c r="K43" s="8">
        <v>128.38</v>
      </c>
      <c r="L43" s="27">
        <f t="shared" si="1"/>
        <v>82098.9</v>
      </c>
      <c r="M43" s="27">
        <f t="shared" si="2"/>
        <v>57064.8</v>
      </c>
      <c r="N43" s="27">
        <f t="shared" si="3"/>
        <v>313</v>
      </c>
    </row>
    <row r="44">
      <c r="B44" s="6" t="s">
        <v>80</v>
      </c>
      <c r="C44" s="6" t="s">
        <v>26</v>
      </c>
      <c r="D44" s="6" t="s">
        <v>39</v>
      </c>
      <c r="E44" s="6" t="s">
        <v>27</v>
      </c>
      <c r="F44" s="6" t="s">
        <v>17</v>
      </c>
      <c r="G44" s="6" t="s">
        <v>18</v>
      </c>
      <c r="H44" s="7">
        <v>44965.0</v>
      </c>
      <c r="I44" s="6"/>
      <c r="J44" s="8">
        <v>91.23</v>
      </c>
      <c r="K44" s="8">
        <v>381.21</v>
      </c>
      <c r="L44" s="27" t="str">
        <f t="shared" si="1"/>
        <v/>
      </c>
      <c r="M44" s="27" t="str">
        <f t="shared" si="2"/>
        <v/>
      </c>
      <c r="N44" s="27">
        <f t="shared" si="3"/>
        <v>312</v>
      </c>
    </row>
    <row r="45">
      <c r="B45" s="6" t="s">
        <v>81</v>
      </c>
      <c r="C45" s="6" t="s">
        <v>14</v>
      </c>
      <c r="D45" s="6" t="s">
        <v>21</v>
      </c>
      <c r="E45" s="6" t="s">
        <v>22</v>
      </c>
      <c r="F45" s="6" t="s">
        <v>28</v>
      </c>
      <c r="G45" s="6" t="s">
        <v>18</v>
      </c>
      <c r="H45" s="7">
        <v>44966.0</v>
      </c>
      <c r="I45" s="8">
        <v>65.0</v>
      </c>
      <c r="J45" s="8">
        <v>480.59</v>
      </c>
      <c r="K45" s="8">
        <v>330.43</v>
      </c>
      <c r="L45" s="27">
        <f t="shared" si="1"/>
        <v>31238.35</v>
      </c>
      <c r="M45" s="27">
        <f t="shared" si="2"/>
        <v>9760.4</v>
      </c>
      <c r="N45" s="27">
        <f t="shared" si="3"/>
        <v>311</v>
      </c>
    </row>
    <row r="46">
      <c r="B46" s="6" t="s">
        <v>82</v>
      </c>
      <c r="C46" s="6" t="s">
        <v>14</v>
      </c>
      <c r="D46" s="6" t="s">
        <v>63</v>
      </c>
      <c r="E46" s="6" t="s">
        <v>55</v>
      </c>
      <c r="F46" s="6" t="s">
        <v>28</v>
      </c>
      <c r="G46" s="6" t="s">
        <v>23</v>
      </c>
      <c r="H46" s="7">
        <v>44967.0</v>
      </c>
      <c r="I46" s="8">
        <v>49.0</v>
      </c>
      <c r="J46" s="8">
        <v>210.87</v>
      </c>
      <c r="K46" s="8">
        <v>267.19</v>
      </c>
      <c r="L46" s="27">
        <f t="shared" si="1"/>
        <v>10332.63</v>
      </c>
      <c r="M46" s="27">
        <f t="shared" si="2"/>
        <v>-2759.68</v>
      </c>
      <c r="N46" s="27">
        <f t="shared" si="3"/>
        <v>310</v>
      </c>
    </row>
    <row r="47">
      <c r="B47" s="6" t="s">
        <v>83</v>
      </c>
      <c r="C47" s="6" t="s">
        <v>14</v>
      </c>
      <c r="D47" s="6" t="s">
        <v>31</v>
      </c>
      <c r="E47" s="6" t="s">
        <v>32</v>
      </c>
      <c r="F47" s="6" t="s">
        <v>17</v>
      </c>
      <c r="G47" s="6" t="s">
        <v>18</v>
      </c>
      <c r="H47" s="7">
        <v>44968.0</v>
      </c>
      <c r="I47" s="8">
        <v>363.0</v>
      </c>
      <c r="J47" s="8">
        <v>423.89</v>
      </c>
      <c r="K47" s="8">
        <v>50.46</v>
      </c>
      <c r="L47" s="27">
        <f t="shared" si="1"/>
        <v>153872.07</v>
      </c>
      <c r="M47" s="27">
        <f t="shared" si="2"/>
        <v>135555.09</v>
      </c>
      <c r="N47" s="27">
        <f t="shared" si="3"/>
        <v>309</v>
      </c>
    </row>
    <row r="48">
      <c r="B48" s="6" t="s">
        <v>84</v>
      </c>
      <c r="C48" s="6" t="s">
        <v>61</v>
      </c>
      <c r="D48" s="6" t="s">
        <v>31</v>
      </c>
      <c r="E48" s="6" t="s">
        <v>55</v>
      </c>
      <c r="F48" s="6" t="s">
        <v>28</v>
      </c>
      <c r="G48" s="6" t="s">
        <v>33</v>
      </c>
      <c r="H48" s="7">
        <v>44969.0</v>
      </c>
      <c r="I48" s="8">
        <v>49.0</v>
      </c>
      <c r="J48" s="8">
        <v>316.24</v>
      </c>
      <c r="K48" s="8">
        <v>192.34</v>
      </c>
      <c r="L48" s="27">
        <f t="shared" si="1"/>
        <v>15495.76</v>
      </c>
      <c r="M48" s="27">
        <f t="shared" si="2"/>
        <v>6071.1</v>
      </c>
      <c r="N48" s="27">
        <f t="shared" si="3"/>
        <v>308</v>
      </c>
    </row>
    <row r="49">
      <c r="B49" s="6" t="s">
        <v>85</v>
      </c>
      <c r="C49" s="6" t="s">
        <v>20</v>
      </c>
      <c r="D49" s="6" t="s">
        <v>31</v>
      </c>
      <c r="E49" s="6" t="s">
        <v>55</v>
      </c>
      <c r="F49" s="6" t="s">
        <v>28</v>
      </c>
      <c r="G49" s="6" t="s">
        <v>33</v>
      </c>
      <c r="H49" s="7">
        <v>44970.0</v>
      </c>
      <c r="I49" s="8">
        <v>356.0</v>
      </c>
      <c r="J49" s="8">
        <v>369.0</v>
      </c>
      <c r="K49" s="8">
        <v>203.43</v>
      </c>
      <c r="L49" s="27">
        <f t="shared" si="1"/>
        <v>131364</v>
      </c>
      <c r="M49" s="27">
        <f t="shared" si="2"/>
        <v>58942.92</v>
      </c>
      <c r="N49" s="27">
        <f t="shared" si="3"/>
        <v>307</v>
      </c>
    </row>
    <row r="50">
      <c r="B50" s="6" t="s">
        <v>86</v>
      </c>
      <c r="C50" s="6" t="s">
        <v>20</v>
      </c>
      <c r="D50" s="6" t="s">
        <v>39</v>
      </c>
      <c r="E50" s="6" t="s">
        <v>55</v>
      </c>
      <c r="F50" s="6" t="s">
        <v>17</v>
      </c>
      <c r="G50" s="6" t="s">
        <v>23</v>
      </c>
      <c r="H50" s="7">
        <v>44971.0</v>
      </c>
      <c r="I50" s="8">
        <v>470.0</v>
      </c>
      <c r="J50" s="6"/>
      <c r="K50" s="8">
        <v>94.56</v>
      </c>
      <c r="L50" s="27" t="str">
        <f t="shared" si="1"/>
        <v/>
      </c>
      <c r="M50" s="27" t="str">
        <f t="shared" si="2"/>
        <v/>
      </c>
      <c r="N50" s="27">
        <f t="shared" si="3"/>
        <v>306</v>
      </c>
    </row>
    <row r="51">
      <c r="B51" s="6" t="s">
        <v>87</v>
      </c>
      <c r="C51" s="6" t="s">
        <v>20</v>
      </c>
      <c r="D51" s="6" t="s">
        <v>63</v>
      </c>
      <c r="E51" s="6" t="s">
        <v>16</v>
      </c>
      <c r="F51" s="6" t="s">
        <v>17</v>
      </c>
      <c r="G51" s="6" t="s">
        <v>33</v>
      </c>
      <c r="H51" s="7">
        <v>44972.0</v>
      </c>
      <c r="I51" s="8">
        <v>246.0</v>
      </c>
      <c r="J51" s="8">
        <v>254.9</v>
      </c>
      <c r="K51" s="8">
        <v>33.83</v>
      </c>
      <c r="L51" s="27">
        <f t="shared" si="1"/>
        <v>62705.4</v>
      </c>
      <c r="M51" s="27">
        <f t="shared" si="2"/>
        <v>54383.22</v>
      </c>
      <c r="N51" s="27">
        <f t="shared" si="3"/>
        <v>305</v>
      </c>
    </row>
    <row r="52">
      <c r="B52" s="6" t="s">
        <v>88</v>
      </c>
      <c r="C52" s="6" t="s">
        <v>20</v>
      </c>
      <c r="D52" s="6" t="s">
        <v>21</v>
      </c>
      <c r="E52" s="6" t="s">
        <v>27</v>
      </c>
      <c r="F52" s="6" t="s">
        <v>17</v>
      </c>
      <c r="G52" s="6" t="s">
        <v>33</v>
      </c>
      <c r="H52" s="7">
        <v>44973.0</v>
      </c>
      <c r="I52" s="8">
        <v>298.0</v>
      </c>
      <c r="J52" s="8">
        <v>273.93</v>
      </c>
      <c r="K52" s="8">
        <v>311.14</v>
      </c>
      <c r="L52" s="27">
        <f t="shared" si="1"/>
        <v>81631.14</v>
      </c>
      <c r="M52" s="27">
        <f t="shared" si="2"/>
        <v>-11088.58</v>
      </c>
      <c r="N52" s="27">
        <f t="shared" si="3"/>
        <v>304</v>
      </c>
    </row>
    <row r="53">
      <c r="B53" s="6" t="s">
        <v>89</v>
      </c>
      <c r="C53" s="6" t="s">
        <v>14</v>
      </c>
      <c r="D53" s="6" t="s">
        <v>15</v>
      </c>
      <c r="E53" s="6" t="s">
        <v>55</v>
      </c>
      <c r="F53" s="6" t="s">
        <v>28</v>
      </c>
      <c r="G53" s="6" t="s">
        <v>33</v>
      </c>
      <c r="H53" s="7">
        <v>44974.0</v>
      </c>
      <c r="I53" s="8">
        <v>271.0</v>
      </c>
      <c r="J53" s="8">
        <v>259.43</v>
      </c>
      <c r="K53" s="8">
        <v>50.57</v>
      </c>
      <c r="L53" s="27">
        <f t="shared" si="1"/>
        <v>70305.53</v>
      </c>
      <c r="M53" s="27">
        <f t="shared" si="2"/>
        <v>56601.06</v>
      </c>
      <c r="N53" s="27">
        <f t="shared" si="3"/>
        <v>303</v>
      </c>
    </row>
    <row r="54">
      <c r="B54" s="6" t="s">
        <v>90</v>
      </c>
      <c r="C54" s="6" t="s">
        <v>61</v>
      </c>
      <c r="D54" s="6" t="s">
        <v>21</v>
      </c>
      <c r="E54" s="6" t="s">
        <v>27</v>
      </c>
      <c r="F54" s="6" t="s">
        <v>28</v>
      </c>
      <c r="G54" s="6" t="s">
        <v>18</v>
      </c>
      <c r="H54" s="7">
        <v>44975.0</v>
      </c>
      <c r="I54" s="8">
        <v>225.0</v>
      </c>
      <c r="J54" s="8">
        <v>296.09</v>
      </c>
      <c r="K54" s="8">
        <v>238.53</v>
      </c>
      <c r="L54" s="27">
        <f t="shared" si="1"/>
        <v>66620.25</v>
      </c>
      <c r="M54" s="27">
        <f t="shared" si="2"/>
        <v>12951</v>
      </c>
      <c r="N54" s="27">
        <f t="shared" si="3"/>
        <v>302</v>
      </c>
    </row>
    <row r="55">
      <c r="B55" s="6" t="s">
        <v>91</v>
      </c>
      <c r="C55" s="6"/>
      <c r="D55" s="6" t="s">
        <v>15</v>
      </c>
      <c r="E55" s="6" t="s">
        <v>22</v>
      </c>
      <c r="F55" s="6" t="s">
        <v>17</v>
      </c>
      <c r="G55" s="6" t="s">
        <v>18</v>
      </c>
      <c r="H55" s="7">
        <v>44976.0</v>
      </c>
      <c r="I55" s="8">
        <v>156.0</v>
      </c>
      <c r="J55" s="8">
        <v>19.55</v>
      </c>
      <c r="K55" s="8">
        <v>374.71</v>
      </c>
      <c r="L55" s="27">
        <f t="shared" si="1"/>
        <v>3049.8</v>
      </c>
      <c r="M55" s="27">
        <f t="shared" si="2"/>
        <v>-55404.96</v>
      </c>
      <c r="N55" s="27">
        <f t="shared" si="3"/>
        <v>301</v>
      </c>
    </row>
    <row r="56">
      <c r="B56" s="6" t="s">
        <v>92</v>
      </c>
      <c r="C56" s="6" t="s">
        <v>14</v>
      </c>
      <c r="D56" s="6" t="s">
        <v>21</v>
      </c>
      <c r="E56" s="6" t="s">
        <v>32</v>
      </c>
      <c r="F56" s="6" t="s">
        <v>17</v>
      </c>
      <c r="G56" s="6" t="s">
        <v>33</v>
      </c>
      <c r="H56" s="7">
        <v>44977.0</v>
      </c>
      <c r="I56" s="8">
        <v>345.0</v>
      </c>
      <c r="J56" s="8">
        <v>200.78</v>
      </c>
      <c r="K56" s="8">
        <v>350.69</v>
      </c>
      <c r="L56" s="27">
        <f t="shared" si="1"/>
        <v>69269.1</v>
      </c>
      <c r="M56" s="27">
        <f t="shared" si="2"/>
        <v>-51718.95</v>
      </c>
      <c r="N56" s="27">
        <f t="shared" si="3"/>
        <v>300</v>
      </c>
    </row>
    <row r="57">
      <c r="B57" s="6" t="s">
        <v>93</v>
      </c>
      <c r="C57" s="6" t="s">
        <v>61</v>
      </c>
      <c r="D57" s="6" t="s">
        <v>63</v>
      </c>
      <c r="E57" s="6" t="s">
        <v>22</v>
      </c>
      <c r="F57" s="6" t="s">
        <v>17</v>
      </c>
      <c r="G57" s="6" t="s">
        <v>23</v>
      </c>
      <c r="H57" s="7">
        <v>44978.0</v>
      </c>
      <c r="I57" s="8">
        <v>177.0</v>
      </c>
      <c r="J57" s="8">
        <v>305.06</v>
      </c>
      <c r="K57" s="8">
        <v>112.55</v>
      </c>
      <c r="L57" s="27">
        <f t="shared" si="1"/>
        <v>53995.62</v>
      </c>
      <c r="M57" s="27">
        <f t="shared" si="2"/>
        <v>34074.27</v>
      </c>
      <c r="N57" s="27">
        <f t="shared" si="3"/>
        <v>299</v>
      </c>
    </row>
    <row r="58">
      <c r="B58" s="6" t="s">
        <v>94</v>
      </c>
      <c r="C58" s="6" t="s">
        <v>14</v>
      </c>
      <c r="D58" s="6" t="s">
        <v>15</v>
      </c>
      <c r="E58" s="6" t="s">
        <v>22</v>
      </c>
      <c r="F58" s="6" t="s">
        <v>28</v>
      </c>
      <c r="G58" s="6" t="s">
        <v>18</v>
      </c>
      <c r="H58" s="7">
        <v>44979.0</v>
      </c>
      <c r="I58" s="8">
        <v>101.0</v>
      </c>
      <c r="J58" s="8">
        <v>300.87</v>
      </c>
      <c r="K58" s="8">
        <v>340.88</v>
      </c>
      <c r="L58" s="27">
        <f t="shared" si="1"/>
        <v>30387.87</v>
      </c>
      <c r="M58" s="27">
        <f t="shared" si="2"/>
        <v>-4041.01</v>
      </c>
      <c r="N58" s="27">
        <f t="shared" si="3"/>
        <v>298</v>
      </c>
    </row>
    <row r="59">
      <c r="B59" s="6" t="s">
        <v>95</v>
      </c>
      <c r="C59" s="6" t="s">
        <v>20</v>
      </c>
      <c r="D59" s="6" t="s">
        <v>39</v>
      </c>
      <c r="E59" s="6" t="s">
        <v>16</v>
      </c>
      <c r="F59" s="6" t="s">
        <v>28</v>
      </c>
      <c r="G59" s="6" t="s">
        <v>23</v>
      </c>
      <c r="H59" s="7">
        <v>44980.0</v>
      </c>
      <c r="I59" s="8">
        <v>362.0</v>
      </c>
      <c r="J59" s="8">
        <v>397.51</v>
      </c>
      <c r="K59" s="8">
        <v>2.13</v>
      </c>
      <c r="L59" s="27">
        <f t="shared" si="1"/>
        <v>143898.62</v>
      </c>
      <c r="M59" s="27">
        <f t="shared" si="2"/>
        <v>143127.56</v>
      </c>
      <c r="N59" s="27">
        <f t="shared" si="3"/>
        <v>297</v>
      </c>
    </row>
    <row r="60">
      <c r="B60" s="6" t="s">
        <v>96</v>
      </c>
      <c r="C60" s="6" t="s">
        <v>14</v>
      </c>
      <c r="D60" s="6" t="s">
        <v>21</v>
      </c>
      <c r="E60" s="6" t="s">
        <v>32</v>
      </c>
      <c r="F60" s="6" t="s">
        <v>28</v>
      </c>
      <c r="G60" s="6" t="s">
        <v>33</v>
      </c>
      <c r="H60" s="7">
        <v>44981.0</v>
      </c>
      <c r="I60" s="8">
        <v>68.0</v>
      </c>
      <c r="J60" s="8">
        <v>329.23</v>
      </c>
      <c r="K60" s="8">
        <v>9.04</v>
      </c>
      <c r="L60" s="27">
        <f t="shared" si="1"/>
        <v>22387.64</v>
      </c>
      <c r="M60" s="27">
        <f t="shared" si="2"/>
        <v>21772.92</v>
      </c>
      <c r="N60" s="27">
        <f t="shared" si="3"/>
        <v>296</v>
      </c>
    </row>
    <row r="61">
      <c r="B61" s="6" t="s">
        <v>97</v>
      </c>
      <c r="C61" s="6" t="s">
        <v>20</v>
      </c>
      <c r="D61" s="6" t="s">
        <v>21</v>
      </c>
      <c r="E61" s="6" t="s">
        <v>22</v>
      </c>
      <c r="F61" s="6" t="s">
        <v>28</v>
      </c>
      <c r="G61" s="6" t="s">
        <v>33</v>
      </c>
      <c r="H61" s="7">
        <v>44982.0</v>
      </c>
      <c r="I61" s="8">
        <v>68.0</v>
      </c>
      <c r="J61" s="8">
        <v>496.11</v>
      </c>
      <c r="K61" s="8">
        <v>241.82</v>
      </c>
      <c r="L61" s="27">
        <f t="shared" si="1"/>
        <v>33735.48</v>
      </c>
      <c r="M61" s="27">
        <f t="shared" si="2"/>
        <v>17291.72</v>
      </c>
      <c r="N61" s="27">
        <f t="shared" si="3"/>
        <v>295</v>
      </c>
    </row>
    <row r="62">
      <c r="B62" s="6" t="s">
        <v>98</v>
      </c>
      <c r="C62" s="6" t="s">
        <v>20</v>
      </c>
      <c r="D62" s="6" t="s">
        <v>15</v>
      </c>
      <c r="E62" s="6" t="s">
        <v>22</v>
      </c>
      <c r="F62" s="6" t="s">
        <v>17</v>
      </c>
      <c r="G62" s="6" t="s">
        <v>18</v>
      </c>
      <c r="H62" s="7">
        <v>44983.0</v>
      </c>
      <c r="I62" s="8">
        <v>313.0</v>
      </c>
      <c r="J62" s="8">
        <v>145.51</v>
      </c>
      <c r="K62" s="8">
        <v>147.19</v>
      </c>
      <c r="L62" s="27">
        <f t="shared" si="1"/>
        <v>45544.63</v>
      </c>
      <c r="M62" s="27">
        <f t="shared" si="2"/>
        <v>-525.84</v>
      </c>
      <c r="N62" s="27">
        <f t="shared" si="3"/>
        <v>294</v>
      </c>
    </row>
    <row r="63">
      <c r="B63" s="6" t="s">
        <v>99</v>
      </c>
      <c r="C63" s="6" t="s">
        <v>26</v>
      </c>
      <c r="D63" s="6" t="s">
        <v>39</v>
      </c>
      <c r="E63" s="6" t="s">
        <v>32</v>
      </c>
      <c r="F63" s="6" t="s">
        <v>17</v>
      </c>
      <c r="G63" s="6" t="s">
        <v>33</v>
      </c>
      <c r="H63" s="7">
        <v>44984.0</v>
      </c>
      <c r="I63" s="8">
        <v>178.0</v>
      </c>
      <c r="J63" s="8">
        <v>182.78</v>
      </c>
      <c r="K63" s="8">
        <v>155.81</v>
      </c>
      <c r="L63" s="27">
        <f t="shared" si="1"/>
        <v>32534.84</v>
      </c>
      <c r="M63" s="27">
        <f t="shared" si="2"/>
        <v>4800.66</v>
      </c>
      <c r="N63" s="27">
        <f t="shared" si="3"/>
        <v>293</v>
      </c>
    </row>
    <row r="64">
      <c r="B64" s="6" t="s">
        <v>100</v>
      </c>
      <c r="C64" s="6" t="s">
        <v>14</v>
      </c>
      <c r="D64" s="6" t="s">
        <v>39</v>
      </c>
      <c r="E64" s="6" t="s">
        <v>32</v>
      </c>
      <c r="F64" s="6" t="s">
        <v>17</v>
      </c>
      <c r="G64" s="6" t="s">
        <v>18</v>
      </c>
      <c r="H64" s="7">
        <v>44985.0</v>
      </c>
      <c r="I64" s="8">
        <v>278.0</v>
      </c>
      <c r="J64" s="8">
        <v>195.0</v>
      </c>
      <c r="K64" s="8">
        <v>226.65</v>
      </c>
      <c r="L64" s="27">
        <f t="shared" si="1"/>
        <v>54210</v>
      </c>
      <c r="M64" s="27">
        <f t="shared" si="2"/>
        <v>-8798.7</v>
      </c>
      <c r="N64" s="27">
        <f t="shared" si="3"/>
        <v>292</v>
      </c>
    </row>
    <row r="65">
      <c r="B65" s="6" t="s">
        <v>101</v>
      </c>
      <c r="C65" s="6" t="s">
        <v>26</v>
      </c>
      <c r="D65" s="6" t="s">
        <v>63</v>
      </c>
      <c r="E65" s="6" t="s">
        <v>22</v>
      </c>
      <c r="F65" s="6" t="s">
        <v>17</v>
      </c>
      <c r="G65" s="6" t="s">
        <v>33</v>
      </c>
      <c r="H65" s="7">
        <v>44986.0</v>
      </c>
      <c r="I65" s="8">
        <v>372.0</v>
      </c>
      <c r="J65" s="8">
        <v>235.58</v>
      </c>
      <c r="K65" s="8">
        <v>78.33</v>
      </c>
      <c r="L65" s="27">
        <f t="shared" si="1"/>
        <v>87635.76</v>
      </c>
      <c r="M65" s="27">
        <f t="shared" si="2"/>
        <v>58497</v>
      </c>
      <c r="N65" s="27">
        <f t="shared" si="3"/>
        <v>291</v>
      </c>
    </row>
    <row r="66">
      <c r="B66" s="6" t="s">
        <v>102</v>
      </c>
      <c r="C66" s="6" t="s">
        <v>14</v>
      </c>
      <c r="D66" s="6" t="s">
        <v>39</v>
      </c>
      <c r="E66" s="6" t="s">
        <v>32</v>
      </c>
      <c r="F66" s="6" t="s">
        <v>28</v>
      </c>
      <c r="G66" s="6" t="s">
        <v>33</v>
      </c>
      <c r="H66" s="7">
        <v>44987.0</v>
      </c>
      <c r="I66" s="8">
        <v>54.0</v>
      </c>
      <c r="J66" s="8">
        <v>418.82</v>
      </c>
      <c r="K66" s="8">
        <v>86.28</v>
      </c>
      <c r="L66" s="27">
        <f t="shared" si="1"/>
        <v>22616.28</v>
      </c>
      <c r="M66" s="27">
        <f t="shared" si="2"/>
        <v>17957.16</v>
      </c>
      <c r="N66" s="27">
        <f t="shared" si="3"/>
        <v>290</v>
      </c>
    </row>
    <row r="67">
      <c r="B67" s="6" t="s">
        <v>103</v>
      </c>
      <c r="C67" s="6" t="s">
        <v>14</v>
      </c>
      <c r="D67" s="6" t="s">
        <v>39</v>
      </c>
      <c r="E67" s="6" t="s">
        <v>22</v>
      </c>
      <c r="F67" s="6" t="s">
        <v>28</v>
      </c>
      <c r="G67" s="6" t="s">
        <v>18</v>
      </c>
      <c r="H67" s="7">
        <v>44988.0</v>
      </c>
      <c r="I67" s="8">
        <v>354.0</v>
      </c>
      <c r="J67" s="8">
        <v>121.72</v>
      </c>
      <c r="K67" s="8">
        <v>194.87</v>
      </c>
      <c r="L67" s="27">
        <f t="shared" si="1"/>
        <v>43088.88</v>
      </c>
      <c r="M67" s="27">
        <f t="shared" si="2"/>
        <v>-25895.1</v>
      </c>
      <c r="N67" s="27">
        <f t="shared" si="3"/>
        <v>289</v>
      </c>
    </row>
    <row r="68">
      <c r="B68" s="6" t="s">
        <v>104</v>
      </c>
      <c r="C68" s="6" t="s">
        <v>26</v>
      </c>
      <c r="D68" s="6" t="s">
        <v>39</v>
      </c>
      <c r="E68" s="6" t="s">
        <v>22</v>
      </c>
      <c r="F68" s="6" t="s">
        <v>17</v>
      </c>
      <c r="G68" s="6" t="s">
        <v>18</v>
      </c>
      <c r="H68" s="7">
        <v>44989.0</v>
      </c>
      <c r="I68" s="8">
        <v>190.0</v>
      </c>
      <c r="J68" s="8">
        <v>389.12</v>
      </c>
      <c r="K68" s="8">
        <v>302.19</v>
      </c>
      <c r="L68" s="27">
        <f t="shared" si="1"/>
        <v>73932.8</v>
      </c>
      <c r="M68" s="27">
        <f t="shared" si="2"/>
        <v>16516.7</v>
      </c>
      <c r="N68" s="27">
        <f t="shared" si="3"/>
        <v>288</v>
      </c>
    </row>
    <row r="69">
      <c r="B69" s="6" t="s">
        <v>105</v>
      </c>
      <c r="C69" s="6"/>
      <c r="D69" s="6" t="s">
        <v>31</v>
      </c>
      <c r="E69" s="6" t="s">
        <v>16</v>
      </c>
      <c r="F69" s="6" t="s">
        <v>17</v>
      </c>
      <c r="G69" s="6" t="s">
        <v>18</v>
      </c>
      <c r="H69" s="7">
        <v>44990.0</v>
      </c>
      <c r="I69" s="8">
        <v>179.0</v>
      </c>
      <c r="J69" s="8">
        <v>205.63</v>
      </c>
      <c r="K69" s="8">
        <v>248.56</v>
      </c>
      <c r="L69" s="27">
        <f t="shared" si="1"/>
        <v>36807.77</v>
      </c>
      <c r="M69" s="27">
        <f t="shared" si="2"/>
        <v>-7684.47</v>
      </c>
      <c r="N69" s="27">
        <f t="shared" si="3"/>
        <v>287</v>
      </c>
    </row>
    <row r="70">
      <c r="B70" s="6" t="s">
        <v>106</v>
      </c>
      <c r="C70" s="6" t="s">
        <v>14</v>
      </c>
      <c r="D70" s="6" t="s">
        <v>63</v>
      </c>
      <c r="E70" s="6" t="s">
        <v>55</v>
      </c>
      <c r="F70" s="6" t="s">
        <v>28</v>
      </c>
      <c r="G70" s="6" t="s">
        <v>33</v>
      </c>
      <c r="H70" s="7">
        <v>44991.0</v>
      </c>
      <c r="I70" s="8">
        <v>365.0</v>
      </c>
      <c r="J70" s="8">
        <v>302.92</v>
      </c>
      <c r="K70" s="8">
        <v>120.35</v>
      </c>
      <c r="L70" s="27">
        <f t="shared" si="1"/>
        <v>110565.8</v>
      </c>
      <c r="M70" s="27">
        <f t="shared" si="2"/>
        <v>66638.05</v>
      </c>
      <c r="N70" s="27">
        <f t="shared" si="3"/>
        <v>286</v>
      </c>
    </row>
    <row r="71">
      <c r="B71" s="6" t="s">
        <v>107</v>
      </c>
      <c r="C71" s="6" t="s">
        <v>61</v>
      </c>
      <c r="D71" s="6" t="s">
        <v>21</v>
      </c>
      <c r="E71" s="6" t="s">
        <v>22</v>
      </c>
      <c r="F71" s="6" t="s">
        <v>17</v>
      </c>
      <c r="G71" s="6" t="s">
        <v>33</v>
      </c>
      <c r="H71" s="7">
        <v>44992.0</v>
      </c>
      <c r="I71" s="8">
        <v>200.0</v>
      </c>
      <c r="J71" s="8">
        <v>318.11</v>
      </c>
      <c r="K71" s="8">
        <v>173.27</v>
      </c>
      <c r="L71" s="27">
        <f t="shared" si="1"/>
        <v>63622</v>
      </c>
      <c r="M71" s="27">
        <f t="shared" si="2"/>
        <v>28968</v>
      </c>
      <c r="N71" s="27">
        <f t="shared" si="3"/>
        <v>285</v>
      </c>
    </row>
    <row r="72">
      <c r="B72" s="6" t="s">
        <v>108</v>
      </c>
      <c r="C72" s="6" t="s">
        <v>20</v>
      </c>
      <c r="D72" s="6" t="s">
        <v>15</v>
      </c>
      <c r="E72" s="6" t="s">
        <v>27</v>
      </c>
      <c r="F72" s="6" t="s">
        <v>28</v>
      </c>
      <c r="G72" s="6" t="s">
        <v>23</v>
      </c>
      <c r="H72" s="7">
        <v>44993.0</v>
      </c>
      <c r="I72" s="8">
        <v>164.0</v>
      </c>
      <c r="J72" s="8">
        <v>189.56</v>
      </c>
      <c r="K72" s="8">
        <v>69.92</v>
      </c>
      <c r="L72" s="27">
        <f t="shared" si="1"/>
        <v>31087.84</v>
      </c>
      <c r="M72" s="27">
        <f t="shared" si="2"/>
        <v>19620.96</v>
      </c>
      <c r="N72" s="27">
        <f t="shared" si="3"/>
        <v>284</v>
      </c>
    </row>
    <row r="73">
      <c r="B73" s="6" t="s">
        <v>109</v>
      </c>
      <c r="C73" s="6" t="s">
        <v>26</v>
      </c>
      <c r="D73" s="6" t="s">
        <v>21</v>
      </c>
      <c r="E73" s="6" t="s">
        <v>55</v>
      </c>
      <c r="F73" s="6" t="s">
        <v>17</v>
      </c>
      <c r="G73" s="6" t="s">
        <v>18</v>
      </c>
      <c r="H73" s="7">
        <v>44994.0</v>
      </c>
      <c r="I73" s="8">
        <v>431.0</v>
      </c>
      <c r="J73" s="8">
        <v>258.74</v>
      </c>
      <c r="K73" s="8">
        <v>31.7</v>
      </c>
      <c r="L73" s="27">
        <f t="shared" si="1"/>
        <v>111516.94</v>
      </c>
      <c r="M73" s="27">
        <f t="shared" si="2"/>
        <v>97854.24</v>
      </c>
      <c r="N73" s="27">
        <f t="shared" si="3"/>
        <v>283</v>
      </c>
    </row>
    <row r="74">
      <c r="B74" s="6" t="s">
        <v>110</v>
      </c>
      <c r="C74" s="6" t="s">
        <v>20</v>
      </c>
      <c r="D74" s="6" t="s">
        <v>63</v>
      </c>
      <c r="E74" s="6" t="s">
        <v>55</v>
      </c>
      <c r="F74" s="6" t="s">
        <v>17</v>
      </c>
      <c r="G74" s="6" t="s">
        <v>33</v>
      </c>
      <c r="H74" s="7">
        <v>44995.0</v>
      </c>
      <c r="I74" s="8">
        <v>197.0</v>
      </c>
      <c r="J74" s="8">
        <v>209.45</v>
      </c>
      <c r="K74" s="8">
        <v>313.51</v>
      </c>
      <c r="L74" s="27">
        <f t="shared" si="1"/>
        <v>41261.65</v>
      </c>
      <c r="M74" s="27">
        <f t="shared" si="2"/>
        <v>-20499.82</v>
      </c>
      <c r="N74" s="27">
        <f t="shared" si="3"/>
        <v>282</v>
      </c>
    </row>
    <row r="75">
      <c r="B75" s="6" t="s">
        <v>111</v>
      </c>
      <c r="C75" s="6" t="s">
        <v>61</v>
      </c>
      <c r="D75" s="6" t="s">
        <v>15</v>
      </c>
      <c r="E75" s="6" t="s">
        <v>55</v>
      </c>
      <c r="F75" s="6" t="s">
        <v>17</v>
      </c>
      <c r="G75" s="6" t="s">
        <v>33</v>
      </c>
      <c r="H75" s="7">
        <v>44996.0</v>
      </c>
      <c r="I75" s="8">
        <v>16.0</v>
      </c>
      <c r="J75" s="8">
        <v>39.22</v>
      </c>
      <c r="K75" s="8">
        <v>107.62</v>
      </c>
      <c r="L75" s="27">
        <f t="shared" si="1"/>
        <v>627.52</v>
      </c>
      <c r="M75" s="27">
        <f t="shared" si="2"/>
        <v>-1094.4</v>
      </c>
      <c r="N75" s="27">
        <f t="shared" si="3"/>
        <v>281</v>
      </c>
    </row>
    <row r="76">
      <c r="B76" s="6" t="s">
        <v>112</v>
      </c>
      <c r="C76" s="6" t="s">
        <v>61</v>
      </c>
      <c r="D76" s="6" t="s">
        <v>63</v>
      </c>
      <c r="E76" s="6" t="s">
        <v>16</v>
      </c>
      <c r="F76" s="6" t="s">
        <v>17</v>
      </c>
      <c r="G76" s="6" t="s">
        <v>18</v>
      </c>
      <c r="H76" s="7">
        <v>44997.0</v>
      </c>
      <c r="I76" s="8">
        <v>142.0</v>
      </c>
      <c r="J76" s="8">
        <v>221.4</v>
      </c>
      <c r="K76" s="8">
        <v>72.75</v>
      </c>
      <c r="L76" s="27">
        <f t="shared" si="1"/>
        <v>31438.8</v>
      </c>
      <c r="M76" s="27">
        <f t="shared" si="2"/>
        <v>21108.3</v>
      </c>
      <c r="N76" s="27">
        <f t="shared" si="3"/>
        <v>280</v>
      </c>
    </row>
    <row r="77">
      <c r="B77" s="6" t="s">
        <v>113</v>
      </c>
      <c r="C77" s="6" t="s">
        <v>61</v>
      </c>
      <c r="D77" s="6" t="s">
        <v>39</v>
      </c>
      <c r="E77" s="6" t="s">
        <v>22</v>
      </c>
      <c r="F77" s="6" t="s">
        <v>17</v>
      </c>
      <c r="G77" s="6" t="s">
        <v>23</v>
      </c>
      <c r="H77" s="7">
        <v>44998.0</v>
      </c>
      <c r="I77" s="8">
        <v>244.0</v>
      </c>
      <c r="J77" s="8">
        <v>53.21</v>
      </c>
      <c r="K77" s="8">
        <v>277.26</v>
      </c>
      <c r="L77" s="27">
        <f t="shared" si="1"/>
        <v>12983.24</v>
      </c>
      <c r="M77" s="27">
        <f t="shared" si="2"/>
        <v>-54668.2</v>
      </c>
      <c r="N77" s="27">
        <f t="shared" si="3"/>
        <v>279</v>
      </c>
    </row>
    <row r="78">
      <c r="B78" s="6" t="s">
        <v>114</v>
      </c>
      <c r="C78" s="6" t="s">
        <v>26</v>
      </c>
      <c r="D78" s="6" t="s">
        <v>15</v>
      </c>
      <c r="E78" s="6" t="s">
        <v>16</v>
      </c>
      <c r="F78" s="6" t="s">
        <v>17</v>
      </c>
      <c r="G78" s="6" t="s">
        <v>18</v>
      </c>
      <c r="H78" s="7">
        <v>44999.0</v>
      </c>
      <c r="I78" s="8">
        <v>54.0</v>
      </c>
      <c r="J78" s="8">
        <v>205.49</v>
      </c>
      <c r="K78" s="8">
        <v>247.98</v>
      </c>
      <c r="L78" s="27">
        <f t="shared" si="1"/>
        <v>11096.46</v>
      </c>
      <c r="M78" s="27">
        <f t="shared" si="2"/>
        <v>-2294.46</v>
      </c>
      <c r="N78" s="27">
        <f t="shared" si="3"/>
        <v>278</v>
      </c>
    </row>
    <row r="79">
      <c r="B79" s="6" t="s">
        <v>115</v>
      </c>
      <c r="C79" s="6" t="s">
        <v>61</v>
      </c>
      <c r="D79" s="6" t="s">
        <v>39</v>
      </c>
      <c r="E79" s="6" t="s">
        <v>22</v>
      </c>
      <c r="F79" s="6" t="s">
        <v>17</v>
      </c>
      <c r="G79" s="6" t="s">
        <v>23</v>
      </c>
      <c r="H79" s="7">
        <v>45000.0</v>
      </c>
      <c r="I79" s="8">
        <v>323.0</v>
      </c>
      <c r="J79" s="8">
        <v>298.49</v>
      </c>
      <c r="K79" s="8">
        <v>254.01</v>
      </c>
      <c r="L79" s="27">
        <f t="shared" si="1"/>
        <v>96412.27</v>
      </c>
      <c r="M79" s="27">
        <f t="shared" si="2"/>
        <v>14367.04</v>
      </c>
      <c r="N79" s="27">
        <f t="shared" si="3"/>
        <v>277</v>
      </c>
    </row>
    <row r="80">
      <c r="B80" s="6" t="s">
        <v>116</v>
      </c>
      <c r="C80" s="6" t="s">
        <v>26</v>
      </c>
      <c r="D80" s="6" t="s">
        <v>21</v>
      </c>
      <c r="E80" s="6" t="s">
        <v>16</v>
      </c>
      <c r="F80" s="6" t="s">
        <v>28</v>
      </c>
      <c r="G80" s="6" t="s">
        <v>33</v>
      </c>
      <c r="H80" s="7">
        <v>45001.0</v>
      </c>
      <c r="I80" s="8">
        <v>258.0</v>
      </c>
      <c r="J80" s="8">
        <v>291.81</v>
      </c>
      <c r="K80" s="8">
        <v>93.1</v>
      </c>
      <c r="L80" s="27">
        <f t="shared" si="1"/>
        <v>75286.98</v>
      </c>
      <c r="M80" s="27">
        <f t="shared" si="2"/>
        <v>51267.18</v>
      </c>
      <c r="N80" s="27">
        <f t="shared" si="3"/>
        <v>276</v>
      </c>
    </row>
    <row r="81">
      <c r="B81" s="6" t="s">
        <v>117</v>
      </c>
      <c r="C81" s="6" t="s">
        <v>61</v>
      </c>
      <c r="D81" s="6" t="s">
        <v>21</v>
      </c>
      <c r="E81" s="6" t="s">
        <v>16</v>
      </c>
      <c r="F81" s="6" t="s">
        <v>28</v>
      </c>
      <c r="G81" s="6" t="s">
        <v>23</v>
      </c>
      <c r="H81" s="7">
        <v>45002.0</v>
      </c>
      <c r="I81" s="8">
        <v>40.0</v>
      </c>
      <c r="J81" s="8">
        <v>333.0</v>
      </c>
      <c r="K81" s="8">
        <v>94.59</v>
      </c>
      <c r="L81" s="27">
        <f t="shared" si="1"/>
        <v>13320</v>
      </c>
      <c r="M81" s="27">
        <f t="shared" si="2"/>
        <v>9536.4</v>
      </c>
      <c r="N81" s="27">
        <f t="shared" si="3"/>
        <v>275</v>
      </c>
    </row>
    <row r="82">
      <c r="B82" s="6" t="s">
        <v>118</v>
      </c>
      <c r="C82" s="6" t="s">
        <v>20</v>
      </c>
      <c r="D82" s="6" t="s">
        <v>15</v>
      </c>
      <c r="E82" s="6" t="s">
        <v>27</v>
      </c>
      <c r="F82" s="6" t="s">
        <v>28</v>
      </c>
      <c r="G82" s="6" t="s">
        <v>33</v>
      </c>
      <c r="H82" s="7">
        <v>45003.0</v>
      </c>
      <c r="I82" s="8">
        <v>32.0</v>
      </c>
      <c r="J82" s="8">
        <v>52.15</v>
      </c>
      <c r="K82" s="8">
        <v>89.88</v>
      </c>
      <c r="L82" s="27">
        <f t="shared" si="1"/>
        <v>1668.8</v>
      </c>
      <c r="M82" s="27">
        <f t="shared" si="2"/>
        <v>-1207.36</v>
      </c>
      <c r="N82" s="27">
        <f t="shared" si="3"/>
        <v>274</v>
      </c>
    </row>
    <row r="83">
      <c r="B83" s="6" t="s">
        <v>119</v>
      </c>
      <c r="C83" s="6" t="s">
        <v>20</v>
      </c>
      <c r="D83" s="6" t="s">
        <v>15</v>
      </c>
      <c r="E83" s="6" t="s">
        <v>16</v>
      </c>
      <c r="F83" s="6" t="s">
        <v>28</v>
      </c>
      <c r="G83" s="6" t="s">
        <v>18</v>
      </c>
      <c r="H83" s="7">
        <v>45004.0</v>
      </c>
      <c r="I83" s="8">
        <v>435.0</v>
      </c>
      <c r="J83" s="8">
        <v>327.8</v>
      </c>
      <c r="K83" s="8">
        <v>71.15</v>
      </c>
      <c r="L83" s="27">
        <f t="shared" si="1"/>
        <v>142593</v>
      </c>
      <c r="M83" s="27">
        <f t="shared" si="2"/>
        <v>111642.75</v>
      </c>
      <c r="N83" s="27">
        <f t="shared" si="3"/>
        <v>273</v>
      </c>
    </row>
    <row r="84">
      <c r="B84" s="6" t="s">
        <v>120</v>
      </c>
      <c r="C84" s="6" t="s">
        <v>14</v>
      </c>
      <c r="D84" s="6" t="s">
        <v>63</v>
      </c>
      <c r="E84" s="6" t="s">
        <v>32</v>
      </c>
      <c r="F84" s="6" t="s">
        <v>28</v>
      </c>
      <c r="G84" s="6" t="s">
        <v>18</v>
      </c>
      <c r="H84" s="7">
        <v>45005.0</v>
      </c>
      <c r="I84" s="8">
        <v>403.0</v>
      </c>
      <c r="J84" s="8">
        <v>159.51</v>
      </c>
      <c r="K84" s="8">
        <v>262.98</v>
      </c>
      <c r="L84" s="27">
        <f t="shared" si="1"/>
        <v>64282.53</v>
      </c>
      <c r="M84" s="27">
        <f t="shared" si="2"/>
        <v>-41698.41</v>
      </c>
      <c r="N84" s="27">
        <f t="shared" si="3"/>
        <v>272</v>
      </c>
    </row>
    <row r="85">
      <c r="B85" s="6" t="s">
        <v>121</v>
      </c>
      <c r="C85" s="6" t="s">
        <v>20</v>
      </c>
      <c r="D85" s="6" t="s">
        <v>63</v>
      </c>
      <c r="E85" s="6" t="s">
        <v>27</v>
      </c>
      <c r="F85" s="6" t="s">
        <v>17</v>
      </c>
      <c r="G85" s="6" t="s">
        <v>18</v>
      </c>
      <c r="H85" s="7">
        <v>45006.0</v>
      </c>
      <c r="I85" s="8">
        <v>169.0</v>
      </c>
      <c r="J85" s="6"/>
      <c r="K85" s="8">
        <v>339.51</v>
      </c>
      <c r="L85" s="27" t="str">
        <f t="shared" si="1"/>
        <v/>
      </c>
      <c r="M85" s="27" t="str">
        <f t="shared" si="2"/>
        <v/>
      </c>
      <c r="N85" s="27">
        <f t="shared" si="3"/>
        <v>271</v>
      </c>
    </row>
    <row r="86">
      <c r="B86" s="6" t="s">
        <v>122</v>
      </c>
      <c r="C86" s="6" t="s">
        <v>14</v>
      </c>
      <c r="D86" s="6" t="s">
        <v>39</v>
      </c>
      <c r="E86" s="6" t="s">
        <v>16</v>
      </c>
      <c r="F86" s="6" t="s">
        <v>17</v>
      </c>
      <c r="G86" s="6" t="s">
        <v>23</v>
      </c>
      <c r="H86" s="7">
        <v>45007.0</v>
      </c>
      <c r="I86" s="8">
        <v>372.0</v>
      </c>
      <c r="J86" s="8">
        <v>429.7</v>
      </c>
      <c r="K86" s="8">
        <v>290.28</v>
      </c>
      <c r="L86" s="27">
        <f t="shared" si="1"/>
        <v>159848.4</v>
      </c>
      <c r="M86" s="27">
        <f t="shared" si="2"/>
        <v>51864.24</v>
      </c>
      <c r="N86" s="27">
        <f t="shared" si="3"/>
        <v>270</v>
      </c>
    </row>
    <row r="87">
      <c r="B87" s="6" t="s">
        <v>123</v>
      </c>
      <c r="C87" s="6" t="s">
        <v>20</v>
      </c>
      <c r="D87" s="6" t="s">
        <v>15</v>
      </c>
      <c r="E87" s="6" t="s">
        <v>55</v>
      </c>
      <c r="F87" s="6" t="s">
        <v>28</v>
      </c>
      <c r="G87" s="6" t="s">
        <v>33</v>
      </c>
      <c r="H87" s="7">
        <v>45008.0</v>
      </c>
      <c r="I87" s="8">
        <v>446.0</v>
      </c>
      <c r="J87" s="8">
        <v>9.47</v>
      </c>
      <c r="K87" s="8">
        <v>317.25</v>
      </c>
      <c r="L87" s="27">
        <f t="shared" si="1"/>
        <v>4223.62</v>
      </c>
      <c r="M87" s="27">
        <f t="shared" si="2"/>
        <v>-137269.88</v>
      </c>
      <c r="N87" s="27">
        <f t="shared" si="3"/>
        <v>269</v>
      </c>
    </row>
    <row r="88">
      <c r="B88" s="6" t="s">
        <v>124</v>
      </c>
      <c r="C88" s="6" t="s">
        <v>26</v>
      </c>
      <c r="D88" s="6" t="s">
        <v>21</v>
      </c>
      <c r="E88" s="6" t="s">
        <v>32</v>
      </c>
      <c r="F88" s="6" t="s">
        <v>17</v>
      </c>
      <c r="G88" s="6" t="s">
        <v>18</v>
      </c>
      <c r="H88" s="7">
        <v>45009.0</v>
      </c>
      <c r="I88" s="8">
        <v>167.0</v>
      </c>
      <c r="J88" s="8">
        <v>296.26</v>
      </c>
      <c r="K88" s="8">
        <v>163.11</v>
      </c>
      <c r="L88" s="27">
        <f t="shared" si="1"/>
        <v>49475.42</v>
      </c>
      <c r="M88" s="27">
        <f t="shared" si="2"/>
        <v>22236.05</v>
      </c>
      <c r="N88" s="27">
        <f t="shared" si="3"/>
        <v>268</v>
      </c>
    </row>
    <row r="89">
      <c r="B89" s="6" t="s">
        <v>125</v>
      </c>
      <c r="C89" s="6" t="s">
        <v>20</v>
      </c>
      <c r="D89" s="6" t="s">
        <v>63</v>
      </c>
      <c r="E89" s="6" t="s">
        <v>32</v>
      </c>
      <c r="F89" s="6" t="s">
        <v>28</v>
      </c>
      <c r="G89" s="6" t="s">
        <v>18</v>
      </c>
      <c r="H89" s="7">
        <v>45010.0</v>
      </c>
      <c r="I89" s="8">
        <v>48.0</v>
      </c>
      <c r="J89" s="8">
        <v>301.36</v>
      </c>
      <c r="K89" s="8">
        <v>262.32</v>
      </c>
      <c r="L89" s="27">
        <f t="shared" si="1"/>
        <v>14465.28</v>
      </c>
      <c r="M89" s="27">
        <f t="shared" si="2"/>
        <v>1873.92</v>
      </c>
      <c r="N89" s="27">
        <f t="shared" si="3"/>
        <v>267</v>
      </c>
    </row>
    <row r="90">
      <c r="B90" s="6" t="s">
        <v>126</v>
      </c>
      <c r="C90" s="6" t="s">
        <v>14</v>
      </c>
      <c r="D90" s="6" t="s">
        <v>63</v>
      </c>
      <c r="E90" s="6" t="s">
        <v>32</v>
      </c>
      <c r="F90" s="6" t="s">
        <v>28</v>
      </c>
      <c r="G90" s="6" t="s">
        <v>33</v>
      </c>
      <c r="H90" s="7">
        <v>45011.0</v>
      </c>
      <c r="I90" s="8">
        <v>424.0</v>
      </c>
      <c r="J90" s="8">
        <v>201.35</v>
      </c>
      <c r="K90" s="8">
        <v>142.99</v>
      </c>
      <c r="L90" s="27">
        <f t="shared" si="1"/>
        <v>85372.4</v>
      </c>
      <c r="M90" s="27">
        <f t="shared" si="2"/>
        <v>24744.64</v>
      </c>
      <c r="N90" s="27">
        <f t="shared" si="3"/>
        <v>266</v>
      </c>
    </row>
    <row r="91">
      <c r="B91" s="6" t="s">
        <v>127</v>
      </c>
      <c r="C91" s="6" t="s">
        <v>14</v>
      </c>
      <c r="D91" s="6" t="s">
        <v>21</v>
      </c>
      <c r="E91" s="6" t="s">
        <v>27</v>
      </c>
      <c r="F91" s="6" t="s">
        <v>17</v>
      </c>
      <c r="G91" s="6" t="s">
        <v>18</v>
      </c>
      <c r="H91" s="7">
        <v>45012.0</v>
      </c>
      <c r="I91" s="8">
        <v>91.0</v>
      </c>
      <c r="J91" s="8">
        <v>122.33</v>
      </c>
      <c r="K91" s="8">
        <v>211.15</v>
      </c>
      <c r="L91" s="27">
        <f t="shared" si="1"/>
        <v>11132.03</v>
      </c>
      <c r="M91" s="27">
        <f t="shared" si="2"/>
        <v>-8082.62</v>
      </c>
      <c r="N91" s="27">
        <f t="shared" si="3"/>
        <v>265</v>
      </c>
    </row>
    <row r="92">
      <c r="B92" s="6" t="s">
        <v>128</v>
      </c>
      <c r="C92" s="6" t="s">
        <v>61</v>
      </c>
      <c r="D92" s="6" t="s">
        <v>63</v>
      </c>
      <c r="E92" s="6" t="s">
        <v>16</v>
      </c>
      <c r="F92" s="6" t="s">
        <v>17</v>
      </c>
      <c r="G92" s="6" t="s">
        <v>33</v>
      </c>
      <c r="H92" s="7">
        <v>45013.0</v>
      </c>
      <c r="I92" s="8">
        <v>365.0</v>
      </c>
      <c r="J92" s="8">
        <v>121.16</v>
      </c>
      <c r="K92" s="8">
        <v>193.69</v>
      </c>
      <c r="L92" s="27">
        <f t="shared" si="1"/>
        <v>44223.4</v>
      </c>
      <c r="M92" s="27">
        <f t="shared" si="2"/>
        <v>-26473.45</v>
      </c>
      <c r="N92" s="27">
        <f t="shared" si="3"/>
        <v>264</v>
      </c>
    </row>
    <row r="93">
      <c r="B93" s="6" t="s">
        <v>129</v>
      </c>
      <c r="C93" s="6" t="s">
        <v>26</v>
      </c>
      <c r="D93" s="6" t="s">
        <v>39</v>
      </c>
      <c r="E93" s="6" t="s">
        <v>16</v>
      </c>
      <c r="F93" s="6" t="s">
        <v>17</v>
      </c>
      <c r="G93" s="6" t="s">
        <v>33</v>
      </c>
      <c r="H93" s="7">
        <v>45014.0</v>
      </c>
      <c r="I93" s="8">
        <v>267.0</v>
      </c>
      <c r="J93" s="8">
        <v>442.44</v>
      </c>
      <c r="K93" s="8">
        <v>72.4</v>
      </c>
      <c r="L93" s="27">
        <f t="shared" si="1"/>
        <v>118131.48</v>
      </c>
      <c r="M93" s="27">
        <f t="shared" si="2"/>
        <v>98800.68</v>
      </c>
      <c r="N93" s="27">
        <f t="shared" si="3"/>
        <v>263</v>
      </c>
    </row>
    <row r="94">
      <c r="B94" s="6" t="s">
        <v>130</v>
      </c>
      <c r="C94" s="6" t="s">
        <v>20</v>
      </c>
      <c r="D94" s="6" t="s">
        <v>15</v>
      </c>
      <c r="E94" s="6" t="s">
        <v>55</v>
      </c>
      <c r="F94" s="6" t="s">
        <v>28</v>
      </c>
      <c r="G94" s="6" t="s">
        <v>33</v>
      </c>
      <c r="H94" s="7">
        <v>45015.0</v>
      </c>
      <c r="I94" s="8">
        <v>215.0</v>
      </c>
      <c r="J94" s="8">
        <v>223.8</v>
      </c>
      <c r="K94" s="8">
        <v>156.06</v>
      </c>
      <c r="L94" s="27">
        <f t="shared" si="1"/>
        <v>48117</v>
      </c>
      <c r="M94" s="27">
        <f t="shared" si="2"/>
        <v>14564.1</v>
      </c>
      <c r="N94" s="27">
        <f t="shared" si="3"/>
        <v>262</v>
      </c>
    </row>
    <row r="95">
      <c r="B95" s="6" t="s">
        <v>131</v>
      </c>
      <c r="C95" s="6" t="s">
        <v>61</v>
      </c>
      <c r="D95" s="6" t="s">
        <v>21</v>
      </c>
      <c r="E95" s="6" t="s">
        <v>55</v>
      </c>
      <c r="F95" s="6" t="s">
        <v>17</v>
      </c>
      <c r="G95" s="6" t="s">
        <v>33</v>
      </c>
      <c r="H95" s="7">
        <v>45016.0</v>
      </c>
      <c r="I95" s="8">
        <v>86.0</v>
      </c>
      <c r="J95" s="8">
        <v>168.79</v>
      </c>
      <c r="K95" s="8">
        <v>385.6</v>
      </c>
      <c r="L95" s="27">
        <f t="shared" si="1"/>
        <v>14515.94</v>
      </c>
      <c r="M95" s="27">
        <f t="shared" si="2"/>
        <v>-18645.66</v>
      </c>
      <c r="N95" s="27">
        <f t="shared" si="3"/>
        <v>261</v>
      </c>
    </row>
    <row r="96">
      <c r="B96" s="6" t="s">
        <v>132</v>
      </c>
      <c r="C96" s="6" t="s">
        <v>20</v>
      </c>
      <c r="D96" s="6" t="s">
        <v>15</v>
      </c>
      <c r="E96" s="6" t="s">
        <v>32</v>
      </c>
      <c r="F96" s="6" t="s">
        <v>28</v>
      </c>
      <c r="G96" s="6" t="s">
        <v>33</v>
      </c>
      <c r="H96" s="7">
        <v>45017.0</v>
      </c>
      <c r="I96" s="8">
        <v>486.0</v>
      </c>
      <c r="J96" s="8">
        <v>227.14</v>
      </c>
      <c r="K96" s="8">
        <v>100.93</v>
      </c>
      <c r="L96" s="27">
        <f t="shared" si="1"/>
        <v>110390.04</v>
      </c>
      <c r="M96" s="27">
        <f t="shared" si="2"/>
        <v>61338.06</v>
      </c>
      <c r="N96" s="27">
        <f t="shared" si="3"/>
        <v>260</v>
      </c>
    </row>
    <row r="97">
      <c r="B97" s="6" t="s">
        <v>133</v>
      </c>
      <c r="C97" s="6" t="s">
        <v>20</v>
      </c>
      <c r="D97" s="6" t="s">
        <v>63</v>
      </c>
      <c r="E97" s="6" t="s">
        <v>55</v>
      </c>
      <c r="F97" s="6" t="s">
        <v>28</v>
      </c>
      <c r="G97" s="6" t="s">
        <v>23</v>
      </c>
      <c r="H97" s="7">
        <v>45018.0</v>
      </c>
      <c r="I97" s="8">
        <v>21.0</v>
      </c>
      <c r="J97" s="6"/>
      <c r="K97" s="8">
        <v>55.25</v>
      </c>
      <c r="L97" s="27" t="str">
        <f t="shared" si="1"/>
        <v/>
      </c>
      <c r="M97" s="27" t="str">
        <f t="shared" si="2"/>
        <v/>
      </c>
      <c r="N97" s="27">
        <f t="shared" si="3"/>
        <v>259</v>
      </c>
    </row>
    <row r="98">
      <c r="B98" s="6" t="s">
        <v>134</v>
      </c>
      <c r="C98" s="6" t="s">
        <v>61</v>
      </c>
      <c r="D98" s="6" t="s">
        <v>63</v>
      </c>
      <c r="E98" s="6" t="s">
        <v>27</v>
      </c>
      <c r="F98" s="6" t="s">
        <v>28</v>
      </c>
      <c r="G98" s="6" t="s">
        <v>18</v>
      </c>
      <c r="H98" s="7">
        <v>45019.0</v>
      </c>
      <c r="I98" s="8">
        <v>304.0</v>
      </c>
      <c r="J98" s="8">
        <v>77.15</v>
      </c>
      <c r="K98" s="8">
        <v>168.6</v>
      </c>
      <c r="L98" s="27">
        <f t="shared" si="1"/>
        <v>23453.6</v>
      </c>
      <c r="M98" s="27">
        <f t="shared" si="2"/>
        <v>-27800.8</v>
      </c>
      <c r="N98" s="27">
        <f t="shared" si="3"/>
        <v>258</v>
      </c>
    </row>
    <row r="99">
      <c r="B99" s="6" t="s">
        <v>135</v>
      </c>
      <c r="C99" s="6" t="s">
        <v>61</v>
      </c>
      <c r="D99" s="6" t="s">
        <v>21</v>
      </c>
      <c r="E99" s="6" t="s">
        <v>16</v>
      </c>
      <c r="F99" s="6" t="s">
        <v>17</v>
      </c>
      <c r="G99" s="6" t="s">
        <v>23</v>
      </c>
      <c r="H99" s="7">
        <v>45020.0</v>
      </c>
      <c r="I99" s="8">
        <v>459.0</v>
      </c>
      <c r="J99" s="8">
        <v>227.47</v>
      </c>
      <c r="K99" s="8">
        <v>316.55</v>
      </c>
      <c r="L99" s="27">
        <f t="shared" si="1"/>
        <v>104408.73</v>
      </c>
      <c r="M99" s="27">
        <f t="shared" si="2"/>
        <v>-40887.72</v>
      </c>
      <c r="N99" s="27">
        <f t="shared" si="3"/>
        <v>257</v>
      </c>
    </row>
    <row r="100">
      <c r="B100" s="6" t="s">
        <v>136</v>
      </c>
      <c r="C100" s="6" t="s">
        <v>61</v>
      </c>
      <c r="D100" s="6" t="s">
        <v>39</v>
      </c>
      <c r="E100" s="6" t="s">
        <v>32</v>
      </c>
      <c r="F100" s="6" t="s">
        <v>17</v>
      </c>
      <c r="G100" s="6" t="s">
        <v>18</v>
      </c>
      <c r="H100" s="7">
        <v>45021.0</v>
      </c>
      <c r="I100" s="8">
        <v>233.0</v>
      </c>
      <c r="J100" s="8">
        <v>296.0</v>
      </c>
      <c r="K100" s="8">
        <v>233.69</v>
      </c>
      <c r="L100" s="27">
        <f t="shared" si="1"/>
        <v>68968</v>
      </c>
      <c r="M100" s="27">
        <f t="shared" si="2"/>
        <v>14518.23</v>
      </c>
      <c r="N100" s="27">
        <f t="shared" si="3"/>
        <v>256</v>
      </c>
    </row>
    <row r="101">
      <c r="B101" s="6" t="s">
        <v>137</v>
      </c>
      <c r="C101" s="6" t="s">
        <v>61</v>
      </c>
      <c r="D101" s="6" t="s">
        <v>31</v>
      </c>
      <c r="E101" s="6" t="s">
        <v>55</v>
      </c>
      <c r="F101" s="6" t="s">
        <v>28</v>
      </c>
      <c r="G101" s="6" t="s">
        <v>23</v>
      </c>
      <c r="H101" s="7">
        <v>45022.0</v>
      </c>
      <c r="I101" s="8">
        <v>22.0</v>
      </c>
      <c r="J101" s="8">
        <v>474.55</v>
      </c>
      <c r="K101" s="8">
        <v>273.03</v>
      </c>
      <c r="L101" s="27">
        <f t="shared" si="1"/>
        <v>10440.1</v>
      </c>
      <c r="M101" s="27">
        <f t="shared" si="2"/>
        <v>4433.44</v>
      </c>
      <c r="N101" s="27">
        <f t="shared" si="3"/>
        <v>255</v>
      </c>
    </row>
    <row r="102">
      <c r="B102" s="6" t="s">
        <v>138</v>
      </c>
      <c r="C102" s="6" t="s">
        <v>61</v>
      </c>
      <c r="D102" s="6" t="s">
        <v>21</v>
      </c>
      <c r="E102" s="6" t="s">
        <v>27</v>
      </c>
      <c r="F102" s="6" t="s">
        <v>17</v>
      </c>
      <c r="G102" s="6" t="s">
        <v>33</v>
      </c>
      <c r="H102" s="7">
        <v>45023.0</v>
      </c>
      <c r="I102" s="8">
        <v>55.0</v>
      </c>
      <c r="J102" s="8">
        <v>130.0</v>
      </c>
      <c r="K102" s="8">
        <v>77.5</v>
      </c>
      <c r="L102" s="27">
        <f t="shared" si="1"/>
        <v>7150</v>
      </c>
      <c r="M102" s="27">
        <f t="shared" si="2"/>
        <v>2887.5</v>
      </c>
      <c r="N102" s="27">
        <f t="shared" si="3"/>
        <v>254</v>
      </c>
    </row>
    <row r="103">
      <c r="B103" s="6" t="s">
        <v>139</v>
      </c>
      <c r="C103" s="6" t="s">
        <v>20</v>
      </c>
      <c r="D103" s="6" t="s">
        <v>31</v>
      </c>
      <c r="E103" s="6" t="s">
        <v>27</v>
      </c>
      <c r="F103" s="6" t="s">
        <v>17</v>
      </c>
      <c r="G103" s="6" t="s">
        <v>18</v>
      </c>
      <c r="H103" s="7">
        <v>45024.0</v>
      </c>
      <c r="I103" s="8">
        <v>164.0</v>
      </c>
      <c r="J103" s="8">
        <v>182.83</v>
      </c>
      <c r="K103" s="8">
        <v>248.34</v>
      </c>
      <c r="L103" s="27">
        <f t="shared" si="1"/>
        <v>29984.12</v>
      </c>
      <c r="M103" s="27">
        <f t="shared" si="2"/>
        <v>-10743.64</v>
      </c>
      <c r="N103" s="27">
        <f t="shared" si="3"/>
        <v>253</v>
      </c>
    </row>
    <row r="104">
      <c r="B104" s="6" t="s">
        <v>140</v>
      </c>
      <c r="C104" s="6" t="s">
        <v>61</v>
      </c>
      <c r="D104" s="6" t="s">
        <v>31</v>
      </c>
      <c r="E104" s="6" t="s">
        <v>55</v>
      </c>
      <c r="F104" s="6" t="s">
        <v>17</v>
      </c>
      <c r="G104" s="6" t="s">
        <v>18</v>
      </c>
      <c r="H104" s="7">
        <v>45025.0</v>
      </c>
      <c r="I104" s="8">
        <v>122.0</v>
      </c>
      <c r="J104" s="8">
        <v>192.78</v>
      </c>
      <c r="K104" s="8">
        <v>130.75</v>
      </c>
      <c r="L104" s="27">
        <f t="shared" si="1"/>
        <v>23519.16</v>
      </c>
      <c r="M104" s="27">
        <f t="shared" si="2"/>
        <v>7567.66</v>
      </c>
      <c r="N104" s="27">
        <f t="shared" si="3"/>
        <v>252</v>
      </c>
    </row>
    <row r="105">
      <c r="B105" s="6" t="s">
        <v>141</v>
      </c>
      <c r="C105" s="6" t="s">
        <v>26</v>
      </c>
      <c r="D105" s="6" t="s">
        <v>39</v>
      </c>
      <c r="E105" s="6" t="s">
        <v>16</v>
      </c>
      <c r="F105" s="6" t="s">
        <v>28</v>
      </c>
      <c r="G105" s="6" t="s">
        <v>23</v>
      </c>
      <c r="H105" s="7">
        <v>45026.0</v>
      </c>
      <c r="I105" s="8">
        <v>242.0</v>
      </c>
      <c r="J105" s="8">
        <v>304.74</v>
      </c>
      <c r="K105" s="8">
        <v>334.05</v>
      </c>
      <c r="L105" s="27">
        <f t="shared" si="1"/>
        <v>73747.08</v>
      </c>
      <c r="M105" s="27">
        <f t="shared" si="2"/>
        <v>-7093.02</v>
      </c>
      <c r="N105" s="27">
        <f t="shared" si="3"/>
        <v>251</v>
      </c>
    </row>
    <row r="106">
      <c r="B106" s="6" t="s">
        <v>142</v>
      </c>
      <c r="C106" s="6" t="s">
        <v>14</v>
      </c>
      <c r="D106" s="6" t="s">
        <v>31</v>
      </c>
      <c r="E106" s="6" t="s">
        <v>55</v>
      </c>
      <c r="F106" s="6" t="s">
        <v>28</v>
      </c>
      <c r="G106" s="6" t="s">
        <v>23</v>
      </c>
      <c r="H106" s="7">
        <v>45027.0</v>
      </c>
      <c r="I106" s="8">
        <v>26.0</v>
      </c>
      <c r="J106" s="8">
        <v>181.58</v>
      </c>
      <c r="K106" s="8">
        <v>252.46</v>
      </c>
      <c r="L106" s="27">
        <f t="shared" si="1"/>
        <v>4721.08</v>
      </c>
      <c r="M106" s="27">
        <f t="shared" si="2"/>
        <v>-1842.88</v>
      </c>
      <c r="N106" s="27">
        <f t="shared" si="3"/>
        <v>250</v>
      </c>
    </row>
    <row r="107">
      <c r="B107" s="6" t="s">
        <v>143</v>
      </c>
      <c r="C107" s="6" t="s">
        <v>61</v>
      </c>
      <c r="D107" s="6" t="s">
        <v>31</v>
      </c>
      <c r="E107" s="6" t="s">
        <v>32</v>
      </c>
      <c r="F107" s="6" t="s">
        <v>17</v>
      </c>
      <c r="G107" s="6" t="s">
        <v>18</v>
      </c>
      <c r="H107" s="7">
        <v>45028.0</v>
      </c>
      <c r="I107" s="8">
        <v>369.0</v>
      </c>
      <c r="J107" s="8">
        <v>269.09</v>
      </c>
      <c r="K107" s="8">
        <v>81.14</v>
      </c>
      <c r="L107" s="27">
        <f t="shared" si="1"/>
        <v>99294.21</v>
      </c>
      <c r="M107" s="27">
        <f t="shared" si="2"/>
        <v>69353.55</v>
      </c>
      <c r="N107" s="27">
        <f t="shared" si="3"/>
        <v>249</v>
      </c>
    </row>
    <row r="108">
      <c r="B108" s="6" t="s">
        <v>144</v>
      </c>
      <c r="C108" s="6" t="s">
        <v>61</v>
      </c>
      <c r="D108" s="6" t="s">
        <v>39</v>
      </c>
      <c r="E108" s="6" t="s">
        <v>55</v>
      </c>
      <c r="F108" s="6" t="s">
        <v>28</v>
      </c>
      <c r="G108" s="6" t="s">
        <v>23</v>
      </c>
      <c r="H108" s="7">
        <v>45029.0</v>
      </c>
      <c r="I108" s="8">
        <v>232.0</v>
      </c>
      <c r="J108" s="8">
        <v>391.99</v>
      </c>
      <c r="K108" s="8">
        <v>27.72</v>
      </c>
      <c r="L108" s="27">
        <f t="shared" si="1"/>
        <v>90941.68</v>
      </c>
      <c r="M108" s="27">
        <f t="shared" si="2"/>
        <v>84510.64</v>
      </c>
      <c r="N108" s="27">
        <f t="shared" si="3"/>
        <v>248</v>
      </c>
    </row>
    <row r="109">
      <c r="B109" s="6" t="s">
        <v>145</v>
      </c>
      <c r="C109" s="6" t="s">
        <v>20</v>
      </c>
      <c r="D109" s="6" t="s">
        <v>31</v>
      </c>
      <c r="E109" s="6" t="s">
        <v>27</v>
      </c>
      <c r="F109" s="6" t="s">
        <v>17</v>
      </c>
      <c r="G109" s="6" t="s">
        <v>23</v>
      </c>
      <c r="H109" s="7">
        <v>45030.0</v>
      </c>
      <c r="I109" s="8">
        <v>363.0</v>
      </c>
      <c r="J109" s="8">
        <v>354.17</v>
      </c>
      <c r="K109" s="8">
        <v>18.97</v>
      </c>
      <c r="L109" s="27">
        <f t="shared" si="1"/>
        <v>128563.71</v>
      </c>
      <c r="M109" s="27">
        <f t="shared" si="2"/>
        <v>121677.6</v>
      </c>
      <c r="N109" s="27">
        <f t="shared" si="3"/>
        <v>247</v>
      </c>
    </row>
    <row r="110">
      <c r="B110" s="6" t="s">
        <v>146</v>
      </c>
      <c r="C110" s="6" t="s">
        <v>61</v>
      </c>
      <c r="D110" s="6" t="s">
        <v>31</v>
      </c>
      <c r="E110" s="6" t="s">
        <v>55</v>
      </c>
      <c r="F110" s="6" t="s">
        <v>17</v>
      </c>
      <c r="G110" s="6" t="s">
        <v>23</v>
      </c>
      <c r="H110" s="7">
        <v>45031.0</v>
      </c>
      <c r="I110" s="8">
        <v>197.0</v>
      </c>
      <c r="J110" s="8">
        <v>225.95</v>
      </c>
      <c r="K110" s="8">
        <v>149.82</v>
      </c>
      <c r="L110" s="27">
        <f t="shared" si="1"/>
        <v>44512.15</v>
      </c>
      <c r="M110" s="27">
        <f t="shared" si="2"/>
        <v>14997.61</v>
      </c>
      <c r="N110" s="27">
        <f t="shared" si="3"/>
        <v>246</v>
      </c>
    </row>
    <row r="111">
      <c r="B111" s="6" t="s">
        <v>147</v>
      </c>
      <c r="C111" s="6" t="s">
        <v>61</v>
      </c>
      <c r="D111" s="6" t="s">
        <v>31</v>
      </c>
      <c r="E111" s="6" t="s">
        <v>16</v>
      </c>
      <c r="F111" s="6" t="s">
        <v>17</v>
      </c>
      <c r="G111" s="6" t="s">
        <v>33</v>
      </c>
      <c r="H111" s="7">
        <v>45032.0</v>
      </c>
      <c r="I111" s="8">
        <v>457.0</v>
      </c>
      <c r="J111" s="8">
        <v>432.79</v>
      </c>
      <c r="K111" s="8">
        <v>107.81</v>
      </c>
      <c r="L111" s="27">
        <f t="shared" si="1"/>
        <v>197785.03</v>
      </c>
      <c r="M111" s="27">
        <f t="shared" si="2"/>
        <v>148515.86</v>
      </c>
      <c r="N111" s="27">
        <f t="shared" si="3"/>
        <v>245</v>
      </c>
    </row>
    <row r="112">
      <c r="B112" s="6" t="s">
        <v>148</v>
      </c>
      <c r="C112" s="6" t="s">
        <v>61</v>
      </c>
      <c r="D112" s="6" t="s">
        <v>21</v>
      </c>
      <c r="E112" s="6" t="s">
        <v>22</v>
      </c>
      <c r="F112" s="6" t="s">
        <v>17</v>
      </c>
      <c r="G112" s="6" t="s">
        <v>33</v>
      </c>
      <c r="H112" s="7">
        <v>45033.0</v>
      </c>
      <c r="I112" s="8">
        <v>353.0</v>
      </c>
      <c r="J112" s="8">
        <v>281.28</v>
      </c>
      <c r="K112" s="8">
        <v>259.14</v>
      </c>
      <c r="L112" s="27">
        <f t="shared" si="1"/>
        <v>99291.84</v>
      </c>
      <c r="M112" s="27">
        <f t="shared" si="2"/>
        <v>7815.42</v>
      </c>
      <c r="N112" s="27">
        <f t="shared" si="3"/>
        <v>244</v>
      </c>
    </row>
    <row r="113">
      <c r="B113" s="6" t="s">
        <v>149</v>
      </c>
      <c r="C113" s="6" t="s">
        <v>20</v>
      </c>
      <c r="D113" s="6" t="s">
        <v>21</v>
      </c>
      <c r="E113" s="6" t="s">
        <v>55</v>
      </c>
      <c r="F113" s="6" t="s">
        <v>28</v>
      </c>
      <c r="G113" s="6" t="s">
        <v>23</v>
      </c>
      <c r="H113" s="7">
        <v>45034.0</v>
      </c>
      <c r="I113" s="8">
        <v>374.0</v>
      </c>
      <c r="J113" s="8">
        <v>272.25</v>
      </c>
      <c r="K113" s="8">
        <v>200.73</v>
      </c>
      <c r="L113" s="27">
        <f t="shared" si="1"/>
        <v>101821.5</v>
      </c>
      <c r="M113" s="27">
        <f t="shared" si="2"/>
        <v>26748.48</v>
      </c>
      <c r="N113" s="27">
        <f t="shared" si="3"/>
        <v>243</v>
      </c>
    </row>
    <row r="114">
      <c r="B114" s="6" t="s">
        <v>150</v>
      </c>
      <c r="C114" s="6" t="s">
        <v>61</v>
      </c>
      <c r="D114" s="6" t="s">
        <v>21</v>
      </c>
      <c r="E114" s="6" t="s">
        <v>16</v>
      </c>
      <c r="F114" s="6" t="s">
        <v>28</v>
      </c>
      <c r="G114" s="6" t="s">
        <v>23</v>
      </c>
      <c r="H114" s="7">
        <v>45035.0</v>
      </c>
      <c r="I114" s="8">
        <v>172.0</v>
      </c>
      <c r="J114" s="8">
        <v>21.92</v>
      </c>
      <c r="K114" s="8">
        <v>107.88</v>
      </c>
      <c r="L114" s="27">
        <f t="shared" si="1"/>
        <v>3770.24</v>
      </c>
      <c r="M114" s="27">
        <f t="shared" si="2"/>
        <v>-14785.12</v>
      </c>
      <c r="N114" s="27">
        <f t="shared" si="3"/>
        <v>242</v>
      </c>
    </row>
    <row r="115">
      <c r="B115" s="6" t="s">
        <v>151</v>
      </c>
      <c r="C115" s="6" t="s">
        <v>14</v>
      </c>
      <c r="D115" s="6" t="s">
        <v>39</v>
      </c>
      <c r="E115" s="6" t="s">
        <v>16</v>
      </c>
      <c r="F115" s="6" t="s">
        <v>28</v>
      </c>
      <c r="G115" s="6" t="s">
        <v>33</v>
      </c>
      <c r="H115" s="7">
        <v>45036.0</v>
      </c>
      <c r="I115" s="8">
        <v>335.0</v>
      </c>
      <c r="J115" s="8">
        <v>493.41</v>
      </c>
      <c r="K115" s="8">
        <v>61.4</v>
      </c>
      <c r="L115" s="27">
        <f t="shared" si="1"/>
        <v>165292.35</v>
      </c>
      <c r="M115" s="27">
        <f t="shared" si="2"/>
        <v>144723.35</v>
      </c>
      <c r="N115" s="27">
        <f t="shared" si="3"/>
        <v>241</v>
      </c>
    </row>
    <row r="116">
      <c r="B116" s="6" t="s">
        <v>152</v>
      </c>
      <c r="C116" s="6" t="s">
        <v>20</v>
      </c>
      <c r="D116" s="6" t="s">
        <v>63</v>
      </c>
      <c r="E116" s="6" t="s">
        <v>27</v>
      </c>
      <c r="F116" s="6" t="s">
        <v>17</v>
      </c>
      <c r="G116" s="6" t="s">
        <v>33</v>
      </c>
      <c r="H116" s="7">
        <v>45037.0</v>
      </c>
      <c r="I116" s="8">
        <v>476.0</v>
      </c>
      <c r="J116" s="8">
        <v>65.87</v>
      </c>
      <c r="K116" s="8">
        <v>52.63</v>
      </c>
      <c r="L116" s="27">
        <f t="shared" si="1"/>
        <v>31354.12</v>
      </c>
      <c r="M116" s="27">
        <f t="shared" si="2"/>
        <v>6302.24</v>
      </c>
      <c r="N116" s="27">
        <f t="shared" si="3"/>
        <v>240</v>
      </c>
    </row>
    <row r="117">
      <c r="B117" s="6" t="s">
        <v>153</v>
      </c>
      <c r="C117" s="6" t="s">
        <v>14</v>
      </c>
      <c r="D117" s="6" t="s">
        <v>31</v>
      </c>
      <c r="E117" s="6" t="s">
        <v>16</v>
      </c>
      <c r="F117" s="6" t="s">
        <v>17</v>
      </c>
      <c r="G117" s="6" t="s">
        <v>18</v>
      </c>
      <c r="H117" s="7">
        <v>45038.0</v>
      </c>
      <c r="I117" s="8">
        <v>423.0</v>
      </c>
      <c r="J117" s="8">
        <v>119.41</v>
      </c>
      <c r="K117" s="8">
        <v>346.13</v>
      </c>
      <c r="L117" s="27">
        <f t="shared" si="1"/>
        <v>50510.43</v>
      </c>
      <c r="M117" s="27">
        <f t="shared" si="2"/>
        <v>-95902.56</v>
      </c>
      <c r="N117" s="27">
        <f t="shared" si="3"/>
        <v>239</v>
      </c>
    </row>
    <row r="118">
      <c r="B118" s="6" t="s">
        <v>154</v>
      </c>
      <c r="C118" s="6" t="s">
        <v>20</v>
      </c>
      <c r="D118" s="6" t="s">
        <v>31</v>
      </c>
      <c r="E118" s="6" t="s">
        <v>16</v>
      </c>
      <c r="F118" s="6" t="s">
        <v>17</v>
      </c>
      <c r="G118" s="6" t="s">
        <v>18</v>
      </c>
      <c r="H118" s="7">
        <v>45039.0</v>
      </c>
      <c r="I118" s="8">
        <v>464.0</v>
      </c>
      <c r="J118" s="8">
        <v>30.59</v>
      </c>
      <c r="K118" s="8">
        <v>98.9</v>
      </c>
      <c r="L118" s="27">
        <f t="shared" si="1"/>
        <v>14193.76</v>
      </c>
      <c r="M118" s="27">
        <f t="shared" si="2"/>
        <v>-31695.84</v>
      </c>
      <c r="N118" s="27">
        <f t="shared" si="3"/>
        <v>238</v>
      </c>
    </row>
    <row r="119">
      <c r="B119" s="6" t="s">
        <v>155</v>
      </c>
      <c r="C119" s="6" t="s">
        <v>61</v>
      </c>
      <c r="D119" s="6" t="s">
        <v>39</v>
      </c>
      <c r="E119" s="6" t="s">
        <v>16</v>
      </c>
      <c r="F119" s="6" t="s">
        <v>28</v>
      </c>
      <c r="G119" s="6" t="s">
        <v>33</v>
      </c>
      <c r="H119" s="7">
        <v>45040.0</v>
      </c>
      <c r="I119" s="8">
        <v>83.0</v>
      </c>
      <c r="J119" s="8">
        <v>321.8</v>
      </c>
      <c r="K119" s="8">
        <v>261.38</v>
      </c>
      <c r="L119" s="27">
        <f t="shared" si="1"/>
        <v>26709.4</v>
      </c>
      <c r="M119" s="27">
        <f t="shared" si="2"/>
        <v>5014.86</v>
      </c>
      <c r="N119" s="27">
        <f t="shared" si="3"/>
        <v>237</v>
      </c>
    </row>
    <row r="120">
      <c r="B120" s="6" t="s">
        <v>156</v>
      </c>
      <c r="C120" s="6" t="s">
        <v>14</v>
      </c>
      <c r="D120" s="6" t="s">
        <v>31</v>
      </c>
      <c r="E120" s="6" t="s">
        <v>16</v>
      </c>
      <c r="F120" s="6" t="s">
        <v>17</v>
      </c>
      <c r="G120" s="6" t="s">
        <v>23</v>
      </c>
      <c r="H120" s="7">
        <v>45041.0</v>
      </c>
      <c r="I120" s="8">
        <v>242.0</v>
      </c>
      <c r="J120" s="8">
        <v>116.23</v>
      </c>
      <c r="K120" s="8">
        <v>324.65</v>
      </c>
      <c r="L120" s="27">
        <f t="shared" si="1"/>
        <v>28127.66</v>
      </c>
      <c r="M120" s="27">
        <f t="shared" si="2"/>
        <v>-50437.64</v>
      </c>
      <c r="N120" s="27">
        <f t="shared" si="3"/>
        <v>236</v>
      </c>
    </row>
    <row r="121">
      <c r="B121" s="6" t="s">
        <v>157</v>
      </c>
      <c r="C121" s="6" t="s">
        <v>20</v>
      </c>
      <c r="D121" s="6" t="s">
        <v>21</v>
      </c>
      <c r="E121" s="6" t="s">
        <v>32</v>
      </c>
      <c r="F121" s="6" t="s">
        <v>28</v>
      </c>
      <c r="G121" s="6" t="s">
        <v>23</v>
      </c>
      <c r="H121" s="7">
        <v>45042.0</v>
      </c>
      <c r="I121" s="8">
        <v>233.0</v>
      </c>
      <c r="J121" s="8">
        <v>94.11</v>
      </c>
      <c r="K121" s="8">
        <v>246.4</v>
      </c>
      <c r="L121" s="27">
        <f t="shared" si="1"/>
        <v>21927.63</v>
      </c>
      <c r="M121" s="27">
        <f t="shared" si="2"/>
        <v>-35483.57</v>
      </c>
      <c r="N121" s="27">
        <f t="shared" si="3"/>
        <v>235</v>
      </c>
    </row>
    <row r="122">
      <c r="B122" s="6" t="s">
        <v>158</v>
      </c>
      <c r="C122" s="6" t="s">
        <v>26</v>
      </c>
      <c r="D122" s="6" t="s">
        <v>63</v>
      </c>
      <c r="E122" s="6" t="s">
        <v>32</v>
      </c>
      <c r="F122" s="6" t="s">
        <v>28</v>
      </c>
      <c r="G122" s="6" t="s">
        <v>23</v>
      </c>
      <c r="H122" s="7">
        <v>45043.0</v>
      </c>
      <c r="I122" s="8">
        <v>491.0</v>
      </c>
      <c r="J122" s="8">
        <v>48.84</v>
      </c>
      <c r="K122" s="8">
        <v>344.11</v>
      </c>
      <c r="L122" s="27">
        <f t="shared" si="1"/>
        <v>23980.44</v>
      </c>
      <c r="M122" s="27">
        <f t="shared" si="2"/>
        <v>-144977.57</v>
      </c>
      <c r="N122" s="27">
        <f t="shared" si="3"/>
        <v>234</v>
      </c>
    </row>
    <row r="123">
      <c r="B123" s="6" t="s">
        <v>159</v>
      </c>
      <c r="C123" s="6"/>
      <c r="D123" s="6" t="s">
        <v>15</v>
      </c>
      <c r="E123" s="6" t="s">
        <v>27</v>
      </c>
      <c r="F123" s="6" t="s">
        <v>28</v>
      </c>
      <c r="G123" s="6" t="s">
        <v>23</v>
      </c>
      <c r="H123" s="7">
        <v>45044.0</v>
      </c>
      <c r="I123" s="8">
        <v>328.0</v>
      </c>
      <c r="J123" s="8">
        <v>56.14</v>
      </c>
      <c r="K123" s="8">
        <v>158.17</v>
      </c>
      <c r="L123" s="27">
        <f t="shared" si="1"/>
        <v>18413.92</v>
      </c>
      <c r="M123" s="27">
        <f t="shared" si="2"/>
        <v>-33465.84</v>
      </c>
      <c r="N123" s="27">
        <f t="shared" si="3"/>
        <v>233</v>
      </c>
    </row>
    <row r="124">
      <c r="B124" s="6" t="s">
        <v>160</v>
      </c>
      <c r="C124" s="6" t="s">
        <v>20</v>
      </c>
      <c r="D124" s="6" t="s">
        <v>31</v>
      </c>
      <c r="E124" s="6" t="s">
        <v>55</v>
      </c>
      <c r="F124" s="6" t="s">
        <v>28</v>
      </c>
      <c r="G124" s="6" t="s">
        <v>18</v>
      </c>
      <c r="H124" s="7">
        <v>45045.0</v>
      </c>
      <c r="I124" s="8">
        <v>421.0</v>
      </c>
      <c r="J124" s="8">
        <v>294.41</v>
      </c>
      <c r="K124" s="8">
        <v>382.58</v>
      </c>
      <c r="L124" s="27">
        <f t="shared" si="1"/>
        <v>123946.61</v>
      </c>
      <c r="M124" s="27">
        <f t="shared" si="2"/>
        <v>-37119.57</v>
      </c>
      <c r="N124" s="27">
        <f t="shared" si="3"/>
        <v>232</v>
      </c>
    </row>
    <row r="125">
      <c r="B125" s="6" t="s">
        <v>161</v>
      </c>
      <c r="C125" s="6" t="s">
        <v>26</v>
      </c>
      <c r="D125" s="6" t="s">
        <v>21</v>
      </c>
      <c r="E125" s="6" t="s">
        <v>16</v>
      </c>
      <c r="F125" s="6" t="s">
        <v>28</v>
      </c>
      <c r="G125" s="6" t="s">
        <v>33</v>
      </c>
      <c r="H125" s="7">
        <v>45046.0</v>
      </c>
      <c r="I125" s="8">
        <v>69.0</v>
      </c>
      <c r="J125" s="8">
        <v>345.66</v>
      </c>
      <c r="K125" s="8">
        <v>54.99</v>
      </c>
      <c r="L125" s="27">
        <f t="shared" si="1"/>
        <v>23850.54</v>
      </c>
      <c r="M125" s="27">
        <f t="shared" si="2"/>
        <v>20056.23</v>
      </c>
      <c r="N125" s="27">
        <f t="shared" si="3"/>
        <v>231</v>
      </c>
    </row>
    <row r="126">
      <c r="B126" s="6" t="s">
        <v>162</v>
      </c>
      <c r="C126" s="6" t="s">
        <v>20</v>
      </c>
      <c r="D126" s="6" t="s">
        <v>15</v>
      </c>
      <c r="E126" s="6" t="s">
        <v>55</v>
      </c>
      <c r="F126" s="6" t="s">
        <v>28</v>
      </c>
      <c r="G126" s="6" t="s">
        <v>23</v>
      </c>
      <c r="H126" s="7">
        <v>45047.0</v>
      </c>
      <c r="I126" s="8">
        <v>344.0</v>
      </c>
      <c r="J126" s="8">
        <v>201.7</v>
      </c>
      <c r="K126" s="8">
        <v>42.66</v>
      </c>
      <c r="L126" s="27">
        <f t="shared" si="1"/>
        <v>69384.8</v>
      </c>
      <c r="M126" s="27">
        <f t="shared" si="2"/>
        <v>54709.76</v>
      </c>
      <c r="N126" s="27">
        <f t="shared" si="3"/>
        <v>230</v>
      </c>
    </row>
    <row r="127">
      <c r="B127" s="6" t="s">
        <v>163</v>
      </c>
      <c r="C127" s="6"/>
      <c r="D127" s="6" t="s">
        <v>63</v>
      </c>
      <c r="E127" s="6" t="s">
        <v>55</v>
      </c>
      <c r="F127" s="6" t="s">
        <v>17</v>
      </c>
      <c r="G127" s="6" t="s">
        <v>18</v>
      </c>
      <c r="H127" s="7">
        <v>45048.0</v>
      </c>
      <c r="I127" s="8">
        <v>231.0</v>
      </c>
      <c r="J127" s="8">
        <v>242.55</v>
      </c>
      <c r="K127" s="8">
        <v>264.16</v>
      </c>
      <c r="L127" s="27">
        <f t="shared" si="1"/>
        <v>56029.05</v>
      </c>
      <c r="M127" s="27">
        <f t="shared" si="2"/>
        <v>-4991.91</v>
      </c>
      <c r="N127" s="27">
        <f t="shared" si="3"/>
        <v>229</v>
      </c>
    </row>
    <row r="128">
      <c r="B128" s="6" t="s">
        <v>164</v>
      </c>
      <c r="C128" s="6" t="s">
        <v>61</v>
      </c>
      <c r="D128" s="6" t="s">
        <v>15</v>
      </c>
      <c r="E128" s="6" t="s">
        <v>27</v>
      </c>
      <c r="F128" s="6" t="s">
        <v>17</v>
      </c>
      <c r="G128" s="6" t="s">
        <v>23</v>
      </c>
      <c r="H128" s="7">
        <v>45049.0</v>
      </c>
      <c r="I128" s="8">
        <v>46.0</v>
      </c>
      <c r="J128" s="8">
        <v>344.55</v>
      </c>
      <c r="K128" s="8">
        <v>377.25</v>
      </c>
      <c r="L128" s="27">
        <f t="shared" si="1"/>
        <v>15849.3</v>
      </c>
      <c r="M128" s="27">
        <f t="shared" si="2"/>
        <v>-1504.2</v>
      </c>
      <c r="N128" s="27">
        <f t="shared" si="3"/>
        <v>228</v>
      </c>
    </row>
    <row r="129">
      <c r="B129" s="6" t="s">
        <v>165</v>
      </c>
      <c r="C129" s="6" t="s">
        <v>14</v>
      </c>
      <c r="D129" s="6" t="s">
        <v>21</v>
      </c>
      <c r="E129" s="6" t="s">
        <v>16</v>
      </c>
      <c r="F129" s="6" t="s">
        <v>28</v>
      </c>
      <c r="G129" s="6" t="s">
        <v>33</v>
      </c>
      <c r="H129" s="7">
        <v>45050.0</v>
      </c>
      <c r="I129" s="8">
        <v>486.0</v>
      </c>
      <c r="J129" s="8">
        <v>13.6</v>
      </c>
      <c r="K129" s="8">
        <v>323.94</v>
      </c>
      <c r="L129" s="27">
        <f t="shared" si="1"/>
        <v>6609.6</v>
      </c>
      <c r="M129" s="27">
        <f t="shared" si="2"/>
        <v>-150825.24</v>
      </c>
      <c r="N129" s="27">
        <f t="shared" si="3"/>
        <v>227</v>
      </c>
    </row>
    <row r="130">
      <c r="B130" s="6" t="s">
        <v>166</v>
      </c>
      <c r="C130" s="6" t="s">
        <v>26</v>
      </c>
      <c r="D130" s="6" t="s">
        <v>15</v>
      </c>
      <c r="E130" s="6" t="s">
        <v>16</v>
      </c>
      <c r="F130" s="6" t="s">
        <v>28</v>
      </c>
      <c r="G130" s="6" t="s">
        <v>18</v>
      </c>
      <c r="H130" s="7">
        <v>45051.0</v>
      </c>
      <c r="I130" s="8">
        <v>287.0</v>
      </c>
      <c r="J130" s="8">
        <v>164.95</v>
      </c>
      <c r="K130" s="8">
        <v>32.41</v>
      </c>
      <c r="L130" s="27">
        <f t="shared" si="1"/>
        <v>47340.65</v>
      </c>
      <c r="M130" s="27">
        <f t="shared" si="2"/>
        <v>38038.98</v>
      </c>
      <c r="N130" s="27">
        <f t="shared" si="3"/>
        <v>226</v>
      </c>
    </row>
    <row r="131">
      <c r="B131" s="6" t="s">
        <v>167</v>
      </c>
      <c r="C131" s="6" t="s">
        <v>20</v>
      </c>
      <c r="D131" s="6" t="s">
        <v>39</v>
      </c>
      <c r="E131" s="6" t="s">
        <v>22</v>
      </c>
      <c r="F131" s="6" t="s">
        <v>17</v>
      </c>
      <c r="G131" s="6" t="s">
        <v>33</v>
      </c>
      <c r="H131" s="7">
        <v>45052.0</v>
      </c>
      <c r="I131" s="8">
        <v>205.0</v>
      </c>
      <c r="J131" s="8">
        <v>486.68</v>
      </c>
      <c r="K131" s="8">
        <v>113.19</v>
      </c>
      <c r="L131" s="27">
        <f t="shared" si="1"/>
        <v>99769.4</v>
      </c>
      <c r="M131" s="27">
        <f t="shared" si="2"/>
        <v>76565.45</v>
      </c>
      <c r="N131" s="27">
        <f t="shared" si="3"/>
        <v>225</v>
      </c>
    </row>
    <row r="132">
      <c r="B132" s="6" t="s">
        <v>168</v>
      </c>
      <c r="C132" s="6" t="s">
        <v>61</v>
      </c>
      <c r="D132" s="6" t="s">
        <v>15</v>
      </c>
      <c r="E132" s="6" t="s">
        <v>55</v>
      </c>
      <c r="F132" s="6" t="s">
        <v>28</v>
      </c>
      <c r="G132" s="6" t="s">
        <v>33</v>
      </c>
      <c r="H132" s="7">
        <v>45053.0</v>
      </c>
      <c r="I132" s="8">
        <v>413.0</v>
      </c>
      <c r="J132" s="8">
        <v>292.16</v>
      </c>
      <c r="K132" s="8">
        <v>372.27</v>
      </c>
      <c r="L132" s="27">
        <f t="shared" si="1"/>
        <v>120662.08</v>
      </c>
      <c r="M132" s="27">
        <f t="shared" si="2"/>
        <v>-33085.43</v>
      </c>
      <c r="N132" s="27">
        <f t="shared" si="3"/>
        <v>224</v>
      </c>
    </row>
    <row r="133">
      <c r="B133" s="6" t="s">
        <v>169</v>
      </c>
      <c r="C133" s="6" t="s">
        <v>26</v>
      </c>
      <c r="D133" s="6" t="s">
        <v>31</v>
      </c>
      <c r="E133" s="6" t="s">
        <v>55</v>
      </c>
      <c r="F133" s="6" t="s">
        <v>28</v>
      </c>
      <c r="G133" s="6" t="s">
        <v>18</v>
      </c>
      <c r="H133" s="7">
        <v>45054.0</v>
      </c>
      <c r="I133" s="8">
        <v>361.0</v>
      </c>
      <c r="J133" s="8">
        <v>130.84</v>
      </c>
      <c r="K133" s="8">
        <v>102.72</v>
      </c>
      <c r="L133" s="27">
        <f t="shared" si="1"/>
        <v>47233.24</v>
      </c>
      <c r="M133" s="27">
        <f t="shared" si="2"/>
        <v>10151.32</v>
      </c>
      <c r="N133" s="27">
        <f t="shared" si="3"/>
        <v>223</v>
      </c>
    </row>
    <row r="134">
      <c r="B134" s="6" t="s">
        <v>170</v>
      </c>
      <c r="C134" s="6" t="s">
        <v>20</v>
      </c>
      <c r="D134" s="6" t="s">
        <v>31</v>
      </c>
      <c r="E134" s="6" t="s">
        <v>32</v>
      </c>
      <c r="F134" s="6" t="s">
        <v>17</v>
      </c>
      <c r="G134" s="6" t="s">
        <v>18</v>
      </c>
      <c r="H134" s="7">
        <v>45055.0</v>
      </c>
      <c r="I134" s="8">
        <v>493.0</v>
      </c>
      <c r="J134" s="8">
        <v>263.26</v>
      </c>
      <c r="K134" s="8">
        <v>312.91</v>
      </c>
      <c r="L134" s="27">
        <f t="shared" si="1"/>
        <v>129787.18</v>
      </c>
      <c r="M134" s="27">
        <f t="shared" si="2"/>
        <v>-24477.45</v>
      </c>
      <c r="N134" s="27">
        <f t="shared" si="3"/>
        <v>222</v>
      </c>
    </row>
    <row r="135">
      <c r="B135" s="6" t="s">
        <v>171</v>
      </c>
      <c r="C135" s="6" t="s">
        <v>20</v>
      </c>
      <c r="D135" s="6" t="s">
        <v>39</v>
      </c>
      <c r="E135" s="6" t="s">
        <v>22</v>
      </c>
      <c r="F135" s="6" t="s">
        <v>28</v>
      </c>
      <c r="G135" s="6" t="s">
        <v>18</v>
      </c>
      <c r="H135" s="7">
        <v>45056.0</v>
      </c>
      <c r="I135" s="8">
        <v>251.0</v>
      </c>
      <c r="J135" s="8">
        <v>174.61</v>
      </c>
      <c r="K135" s="8">
        <v>330.4</v>
      </c>
      <c r="L135" s="27">
        <f t="shared" si="1"/>
        <v>43827.11</v>
      </c>
      <c r="M135" s="27">
        <f t="shared" si="2"/>
        <v>-39103.29</v>
      </c>
      <c r="N135" s="27">
        <f t="shared" si="3"/>
        <v>221</v>
      </c>
    </row>
    <row r="136">
      <c r="B136" s="6" t="s">
        <v>172</v>
      </c>
      <c r="C136" s="6" t="s">
        <v>20</v>
      </c>
      <c r="D136" s="6" t="s">
        <v>21</v>
      </c>
      <c r="E136" s="6" t="s">
        <v>32</v>
      </c>
      <c r="F136" s="6" t="s">
        <v>28</v>
      </c>
      <c r="G136" s="6" t="s">
        <v>18</v>
      </c>
      <c r="H136" s="7">
        <v>45057.0</v>
      </c>
      <c r="I136" s="6"/>
      <c r="J136" s="8">
        <v>268.46</v>
      </c>
      <c r="K136" s="8">
        <v>199.19</v>
      </c>
      <c r="L136" s="27" t="str">
        <f t="shared" si="1"/>
        <v/>
      </c>
      <c r="M136" s="27" t="str">
        <f t="shared" si="2"/>
        <v/>
      </c>
      <c r="N136" s="27">
        <f t="shared" si="3"/>
        <v>220</v>
      </c>
    </row>
    <row r="137">
      <c r="B137" s="6" t="s">
        <v>173</v>
      </c>
      <c r="C137" s="6" t="s">
        <v>26</v>
      </c>
      <c r="D137" s="6" t="s">
        <v>31</v>
      </c>
      <c r="E137" s="6" t="s">
        <v>32</v>
      </c>
      <c r="F137" s="6" t="s">
        <v>28</v>
      </c>
      <c r="G137" s="6" t="s">
        <v>18</v>
      </c>
      <c r="H137" s="7">
        <v>45058.0</v>
      </c>
      <c r="I137" s="8">
        <v>228.0</v>
      </c>
      <c r="J137" s="8">
        <v>67.24</v>
      </c>
      <c r="K137" s="8">
        <v>155.77</v>
      </c>
      <c r="L137" s="27">
        <f t="shared" si="1"/>
        <v>15330.72</v>
      </c>
      <c r="M137" s="27">
        <f t="shared" si="2"/>
        <v>-20184.84</v>
      </c>
      <c r="N137" s="27">
        <f t="shared" si="3"/>
        <v>219</v>
      </c>
    </row>
    <row r="138">
      <c r="B138" s="6" t="s">
        <v>174</v>
      </c>
      <c r="C138" s="6" t="s">
        <v>26</v>
      </c>
      <c r="D138" s="6" t="s">
        <v>63</v>
      </c>
      <c r="E138" s="6" t="s">
        <v>32</v>
      </c>
      <c r="F138" s="6" t="s">
        <v>17</v>
      </c>
      <c r="G138" s="6" t="s">
        <v>18</v>
      </c>
      <c r="H138" s="7">
        <v>45059.0</v>
      </c>
      <c r="I138" s="8">
        <v>201.0</v>
      </c>
      <c r="J138" s="8">
        <v>70.69</v>
      </c>
      <c r="K138" s="8">
        <v>181.15</v>
      </c>
      <c r="L138" s="27">
        <f t="shared" si="1"/>
        <v>14208.69</v>
      </c>
      <c r="M138" s="27">
        <f t="shared" si="2"/>
        <v>-22202.46</v>
      </c>
      <c r="N138" s="27">
        <f t="shared" si="3"/>
        <v>218</v>
      </c>
    </row>
    <row r="139">
      <c r="B139" s="6" t="s">
        <v>175</v>
      </c>
      <c r="C139" s="6" t="s">
        <v>26</v>
      </c>
      <c r="D139" s="6" t="s">
        <v>31</v>
      </c>
      <c r="E139" s="6" t="s">
        <v>27</v>
      </c>
      <c r="F139" s="6" t="s">
        <v>17</v>
      </c>
      <c r="G139" s="6" t="s">
        <v>18</v>
      </c>
      <c r="H139" s="7">
        <v>45060.0</v>
      </c>
      <c r="I139" s="8">
        <v>26.0</v>
      </c>
      <c r="J139" s="8">
        <v>76.05</v>
      </c>
      <c r="K139" s="8">
        <v>92.33</v>
      </c>
      <c r="L139" s="27">
        <f t="shared" si="1"/>
        <v>1977.3</v>
      </c>
      <c r="M139" s="27">
        <f t="shared" si="2"/>
        <v>-423.28</v>
      </c>
      <c r="N139" s="27">
        <f t="shared" si="3"/>
        <v>217</v>
      </c>
    </row>
    <row r="140">
      <c r="B140" s="6" t="s">
        <v>176</v>
      </c>
      <c r="C140" s="6" t="s">
        <v>14</v>
      </c>
      <c r="D140" s="6" t="s">
        <v>31</v>
      </c>
      <c r="E140" s="6" t="s">
        <v>27</v>
      </c>
      <c r="F140" s="6" t="s">
        <v>17</v>
      </c>
      <c r="G140" s="6" t="s">
        <v>23</v>
      </c>
      <c r="H140" s="7">
        <v>45061.0</v>
      </c>
      <c r="I140" s="8">
        <v>21.0</v>
      </c>
      <c r="J140" s="8">
        <v>470.21</v>
      </c>
      <c r="K140" s="8">
        <v>355.98</v>
      </c>
      <c r="L140" s="27">
        <f t="shared" si="1"/>
        <v>9874.41</v>
      </c>
      <c r="M140" s="27">
        <f t="shared" si="2"/>
        <v>2398.83</v>
      </c>
      <c r="N140" s="27">
        <f t="shared" si="3"/>
        <v>216</v>
      </c>
    </row>
    <row r="141">
      <c r="B141" s="6" t="s">
        <v>177</v>
      </c>
      <c r="C141" s="6" t="s">
        <v>26</v>
      </c>
      <c r="D141" s="6" t="s">
        <v>21</v>
      </c>
      <c r="E141" s="6" t="s">
        <v>32</v>
      </c>
      <c r="F141" s="6" t="s">
        <v>28</v>
      </c>
      <c r="G141" s="6" t="s">
        <v>33</v>
      </c>
      <c r="H141" s="7">
        <v>45062.0</v>
      </c>
      <c r="I141" s="8">
        <v>415.0</v>
      </c>
      <c r="J141" s="8">
        <v>367.78</v>
      </c>
      <c r="K141" s="8">
        <v>181.35</v>
      </c>
      <c r="L141" s="27">
        <f t="shared" si="1"/>
        <v>152628.7</v>
      </c>
      <c r="M141" s="27">
        <f t="shared" si="2"/>
        <v>77368.45</v>
      </c>
      <c r="N141" s="27">
        <f t="shared" si="3"/>
        <v>215</v>
      </c>
    </row>
    <row r="142">
      <c r="B142" s="6" t="s">
        <v>178</v>
      </c>
      <c r="C142" s="6" t="s">
        <v>26</v>
      </c>
      <c r="D142" s="6" t="s">
        <v>15</v>
      </c>
      <c r="E142" s="6" t="s">
        <v>22</v>
      </c>
      <c r="F142" s="6" t="s">
        <v>28</v>
      </c>
      <c r="G142" s="6" t="s">
        <v>18</v>
      </c>
      <c r="H142" s="7">
        <v>45063.0</v>
      </c>
      <c r="I142" s="8">
        <v>410.0</v>
      </c>
      <c r="J142" s="8">
        <v>85.38</v>
      </c>
      <c r="K142" s="8">
        <v>353.22</v>
      </c>
      <c r="L142" s="27">
        <f t="shared" si="1"/>
        <v>35005.8</v>
      </c>
      <c r="M142" s="27">
        <f t="shared" si="2"/>
        <v>-109814.4</v>
      </c>
      <c r="N142" s="27">
        <f t="shared" si="3"/>
        <v>214</v>
      </c>
    </row>
    <row r="143">
      <c r="B143" s="6" t="s">
        <v>179</v>
      </c>
      <c r="C143" s="6" t="s">
        <v>26</v>
      </c>
      <c r="D143" s="6" t="s">
        <v>31</v>
      </c>
      <c r="E143" s="6" t="s">
        <v>55</v>
      </c>
      <c r="F143" s="6" t="s">
        <v>17</v>
      </c>
      <c r="G143" s="6" t="s">
        <v>23</v>
      </c>
      <c r="H143" s="7">
        <v>45064.0</v>
      </c>
      <c r="I143" s="8">
        <v>403.0</v>
      </c>
      <c r="J143" s="8">
        <v>98.23</v>
      </c>
      <c r="K143" s="8">
        <v>44.07</v>
      </c>
      <c r="L143" s="27">
        <f t="shared" si="1"/>
        <v>39586.69</v>
      </c>
      <c r="M143" s="27">
        <f t="shared" si="2"/>
        <v>21826.48</v>
      </c>
      <c r="N143" s="27">
        <f t="shared" si="3"/>
        <v>213</v>
      </c>
    </row>
    <row r="144">
      <c r="B144" s="6" t="s">
        <v>180</v>
      </c>
      <c r="C144" s="6" t="s">
        <v>14</v>
      </c>
      <c r="D144" s="6" t="s">
        <v>39</v>
      </c>
      <c r="E144" s="6" t="s">
        <v>22</v>
      </c>
      <c r="F144" s="6" t="s">
        <v>28</v>
      </c>
      <c r="G144" s="6" t="s">
        <v>23</v>
      </c>
      <c r="H144" s="7">
        <v>45065.0</v>
      </c>
      <c r="I144" s="8">
        <v>383.0</v>
      </c>
      <c r="J144" s="8">
        <v>366.76</v>
      </c>
      <c r="K144" s="8">
        <v>395.33</v>
      </c>
      <c r="L144" s="27">
        <f t="shared" si="1"/>
        <v>140469.08</v>
      </c>
      <c r="M144" s="27">
        <f t="shared" si="2"/>
        <v>-10942.31</v>
      </c>
      <c r="N144" s="27">
        <f t="shared" si="3"/>
        <v>212</v>
      </c>
    </row>
    <row r="145">
      <c r="B145" s="6" t="s">
        <v>181</v>
      </c>
      <c r="C145" s="6" t="s">
        <v>26</v>
      </c>
      <c r="D145" s="6" t="s">
        <v>15</v>
      </c>
      <c r="E145" s="6" t="s">
        <v>16</v>
      </c>
      <c r="F145" s="6" t="s">
        <v>28</v>
      </c>
      <c r="G145" s="6" t="s">
        <v>23</v>
      </c>
      <c r="H145" s="7">
        <v>45066.0</v>
      </c>
      <c r="I145" s="8">
        <v>202.0</v>
      </c>
      <c r="J145" s="8">
        <v>82.3</v>
      </c>
      <c r="K145" s="8">
        <v>178.42</v>
      </c>
      <c r="L145" s="27">
        <f t="shared" si="1"/>
        <v>16624.6</v>
      </c>
      <c r="M145" s="27">
        <f t="shared" si="2"/>
        <v>-19416.24</v>
      </c>
      <c r="N145" s="27">
        <f t="shared" si="3"/>
        <v>211</v>
      </c>
    </row>
    <row r="146">
      <c r="B146" s="6" t="s">
        <v>182</v>
      </c>
      <c r="C146" s="6" t="s">
        <v>20</v>
      </c>
      <c r="D146" s="6" t="s">
        <v>63</v>
      </c>
      <c r="E146" s="6" t="s">
        <v>27</v>
      </c>
      <c r="F146" s="6" t="s">
        <v>28</v>
      </c>
      <c r="G146" s="6" t="s">
        <v>33</v>
      </c>
      <c r="H146" s="7">
        <v>45067.0</v>
      </c>
      <c r="I146" s="8">
        <v>31.0</v>
      </c>
      <c r="J146" s="8">
        <v>121.11</v>
      </c>
      <c r="K146" s="8">
        <v>21.04</v>
      </c>
      <c r="L146" s="27">
        <f t="shared" si="1"/>
        <v>3754.41</v>
      </c>
      <c r="M146" s="27">
        <f t="shared" si="2"/>
        <v>3102.17</v>
      </c>
      <c r="N146" s="27">
        <f t="shared" si="3"/>
        <v>210</v>
      </c>
    </row>
    <row r="147">
      <c r="B147" s="6" t="s">
        <v>183</v>
      </c>
      <c r="C147" s="6" t="s">
        <v>26</v>
      </c>
      <c r="D147" s="6" t="s">
        <v>21</v>
      </c>
      <c r="E147" s="6" t="s">
        <v>55</v>
      </c>
      <c r="F147" s="6" t="s">
        <v>28</v>
      </c>
      <c r="G147" s="6" t="s">
        <v>18</v>
      </c>
      <c r="H147" s="7">
        <v>45068.0</v>
      </c>
      <c r="I147" s="8">
        <v>483.0</v>
      </c>
      <c r="J147" s="8">
        <v>481.86</v>
      </c>
      <c r="K147" s="8">
        <v>17.13</v>
      </c>
      <c r="L147" s="27">
        <f t="shared" si="1"/>
        <v>232738.38</v>
      </c>
      <c r="M147" s="27">
        <f t="shared" si="2"/>
        <v>224464.59</v>
      </c>
      <c r="N147" s="27">
        <f t="shared" si="3"/>
        <v>209</v>
      </c>
    </row>
    <row r="148">
      <c r="B148" s="6" t="s">
        <v>184</v>
      </c>
      <c r="C148" s="6" t="s">
        <v>20</v>
      </c>
      <c r="D148" s="6" t="s">
        <v>63</v>
      </c>
      <c r="E148" s="6" t="s">
        <v>55</v>
      </c>
      <c r="F148" s="6" t="s">
        <v>28</v>
      </c>
      <c r="G148" s="6" t="s">
        <v>23</v>
      </c>
      <c r="H148" s="7">
        <v>45069.0</v>
      </c>
      <c r="I148" s="8">
        <v>129.0</v>
      </c>
      <c r="J148" s="8">
        <v>131.38</v>
      </c>
      <c r="K148" s="8">
        <v>298.99</v>
      </c>
      <c r="L148" s="27">
        <f t="shared" si="1"/>
        <v>16948.02</v>
      </c>
      <c r="M148" s="27">
        <f t="shared" si="2"/>
        <v>-21621.69</v>
      </c>
      <c r="N148" s="27">
        <f t="shared" si="3"/>
        <v>208</v>
      </c>
    </row>
    <row r="149">
      <c r="B149" s="6" t="s">
        <v>185</v>
      </c>
      <c r="C149" s="6" t="s">
        <v>20</v>
      </c>
      <c r="D149" s="6" t="s">
        <v>15</v>
      </c>
      <c r="E149" s="6" t="s">
        <v>16</v>
      </c>
      <c r="F149" s="6" t="s">
        <v>17</v>
      </c>
      <c r="G149" s="6" t="s">
        <v>33</v>
      </c>
      <c r="H149" s="7">
        <v>45070.0</v>
      </c>
      <c r="I149" s="8">
        <v>219.0</v>
      </c>
      <c r="J149" s="8">
        <v>332.51</v>
      </c>
      <c r="K149" s="8">
        <v>264.3</v>
      </c>
      <c r="L149" s="27">
        <f t="shared" si="1"/>
        <v>72819.69</v>
      </c>
      <c r="M149" s="27">
        <f t="shared" si="2"/>
        <v>14937.99</v>
      </c>
      <c r="N149" s="27">
        <f t="shared" si="3"/>
        <v>207</v>
      </c>
    </row>
    <row r="150">
      <c r="B150" s="6" t="s">
        <v>186</v>
      </c>
      <c r="C150" s="6" t="s">
        <v>20</v>
      </c>
      <c r="D150" s="6" t="s">
        <v>15</v>
      </c>
      <c r="E150" s="6" t="s">
        <v>16</v>
      </c>
      <c r="F150" s="6" t="s">
        <v>28</v>
      </c>
      <c r="G150" s="6" t="s">
        <v>33</v>
      </c>
      <c r="H150" s="7">
        <v>45071.0</v>
      </c>
      <c r="I150" s="8">
        <v>315.0</v>
      </c>
      <c r="J150" s="8">
        <v>489.42</v>
      </c>
      <c r="K150" s="8">
        <v>321.25</v>
      </c>
      <c r="L150" s="27">
        <f t="shared" si="1"/>
        <v>154167.3</v>
      </c>
      <c r="M150" s="27">
        <f t="shared" si="2"/>
        <v>52973.55</v>
      </c>
      <c r="N150" s="27">
        <f t="shared" si="3"/>
        <v>206</v>
      </c>
    </row>
    <row r="151">
      <c r="B151" s="6" t="s">
        <v>187</v>
      </c>
      <c r="C151" s="6" t="s">
        <v>14</v>
      </c>
      <c r="D151" s="6" t="s">
        <v>15</v>
      </c>
      <c r="E151" s="6" t="s">
        <v>32</v>
      </c>
      <c r="F151" s="6" t="s">
        <v>17</v>
      </c>
      <c r="G151" s="6" t="s">
        <v>33</v>
      </c>
      <c r="H151" s="7">
        <v>45072.0</v>
      </c>
      <c r="I151" s="8">
        <v>279.0</v>
      </c>
      <c r="J151" s="8">
        <v>190.28</v>
      </c>
      <c r="K151" s="8">
        <v>43.94</v>
      </c>
      <c r="L151" s="27">
        <f t="shared" si="1"/>
        <v>53088.12</v>
      </c>
      <c r="M151" s="27">
        <f t="shared" si="2"/>
        <v>40828.86</v>
      </c>
      <c r="N151" s="27">
        <f t="shared" si="3"/>
        <v>205</v>
      </c>
    </row>
    <row r="152">
      <c r="B152" s="6" t="s">
        <v>188</v>
      </c>
      <c r="C152" s="6" t="s">
        <v>14</v>
      </c>
      <c r="D152" s="6" t="s">
        <v>63</v>
      </c>
      <c r="E152" s="6" t="s">
        <v>27</v>
      </c>
      <c r="F152" s="6" t="s">
        <v>28</v>
      </c>
      <c r="G152" s="6" t="s">
        <v>23</v>
      </c>
      <c r="H152" s="7">
        <v>45073.0</v>
      </c>
      <c r="I152" s="8">
        <v>201.0</v>
      </c>
      <c r="J152" s="8">
        <v>13.67</v>
      </c>
      <c r="K152" s="8">
        <v>16.16</v>
      </c>
      <c r="L152" s="27">
        <f t="shared" si="1"/>
        <v>2747.67</v>
      </c>
      <c r="M152" s="27">
        <f t="shared" si="2"/>
        <v>-500.49</v>
      </c>
      <c r="N152" s="27">
        <f t="shared" si="3"/>
        <v>204</v>
      </c>
    </row>
    <row r="153">
      <c r="B153" s="6" t="s">
        <v>189</v>
      </c>
      <c r="C153" s="6" t="s">
        <v>14</v>
      </c>
      <c r="D153" s="6" t="s">
        <v>15</v>
      </c>
      <c r="E153" s="6" t="s">
        <v>27</v>
      </c>
      <c r="F153" s="6" t="s">
        <v>17</v>
      </c>
      <c r="G153" s="6" t="s">
        <v>18</v>
      </c>
      <c r="H153" s="7">
        <v>45074.0</v>
      </c>
      <c r="I153" s="8">
        <v>184.0</v>
      </c>
      <c r="J153" s="8">
        <v>125.85</v>
      </c>
      <c r="K153" s="8">
        <v>204.41</v>
      </c>
      <c r="L153" s="27">
        <f t="shared" si="1"/>
        <v>23156.4</v>
      </c>
      <c r="M153" s="27">
        <f t="shared" si="2"/>
        <v>-14455.04</v>
      </c>
      <c r="N153" s="27">
        <f t="shared" si="3"/>
        <v>203</v>
      </c>
    </row>
    <row r="154">
      <c r="B154" s="6" t="s">
        <v>190</v>
      </c>
      <c r="C154" s="6" t="s">
        <v>26</v>
      </c>
      <c r="D154" s="6" t="s">
        <v>63</v>
      </c>
      <c r="E154" s="6" t="s">
        <v>22</v>
      </c>
      <c r="F154" s="6" t="s">
        <v>28</v>
      </c>
      <c r="G154" s="6" t="s">
        <v>23</v>
      </c>
      <c r="H154" s="7">
        <v>45075.0</v>
      </c>
      <c r="I154" s="8">
        <v>294.0</v>
      </c>
      <c r="J154" s="8">
        <v>416.28</v>
      </c>
      <c r="K154" s="8">
        <v>156.26</v>
      </c>
      <c r="L154" s="27">
        <f t="shared" si="1"/>
        <v>122386.32</v>
      </c>
      <c r="M154" s="27">
        <f t="shared" si="2"/>
        <v>76445.88</v>
      </c>
      <c r="N154" s="27">
        <f t="shared" si="3"/>
        <v>202</v>
      </c>
    </row>
    <row r="155">
      <c r="B155" s="6" t="s">
        <v>191</v>
      </c>
      <c r="C155" s="6" t="s">
        <v>20</v>
      </c>
      <c r="D155" s="6" t="s">
        <v>15</v>
      </c>
      <c r="E155" s="6" t="s">
        <v>32</v>
      </c>
      <c r="F155" s="6" t="s">
        <v>17</v>
      </c>
      <c r="G155" s="6" t="s">
        <v>23</v>
      </c>
      <c r="H155" s="7">
        <v>45076.0</v>
      </c>
      <c r="I155" s="8">
        <v>213.0</v>
      </c>
      <c r="J155" s="8">
        <v>432.98</v>
      </c>
      <c r="K155" s="8">
        <v>185.85</v>
      </c>
      <c r="L155" s="27">
        <f t="shared" si="1"/>
        <v>92224.74</v>
      </c>
      <c r="M155" s="27">
        <f t="shared" si="2"/>
        <v>52638.69</v>
      </c>
      <c r="N155" s="27">
        <f t="shared" si="3"/>
        <v>201</v>
      </c>
    </row>
    <row r="156">
      <c r="B156" s="6" t="s">
        <v>192</v>
      </c>
      <c r="C156" s="6" t="s">
        <v>14</v>
      </c>
      <c r="D156" s="6" t="s">
        <v>39</v>
      </c>
      <c r="E156" s="6" t="s">
        <v>32</v>
      </c>
      <c r="F156" s="6" t="s">
        <v>28</v>
      </c>
      <c r="G156" s="6" t="s">
        <v>18</v>
      </c>
      <c r="H156" s="7">
        <v>45077.0</v>
      </c>
      <c r="I156" s="8">
        <v>173.0</v>
      </c>
      <c r="J156" s="8">
        <v>385.42</v>
      </c>
      <c r="K156" s="8">
        <v>396.65</v>
      </c>
      <c r="L156" s="27">
        <f t="shared" si="1"/>
        <v>66677.66</v>
      </c>
      <c r="M156" s="27">
        <f t="shared" si="2"/>
        <v>-1942.79</v>
      </c>
      <c r="N156" s="27">
        <f t="shared" si="3"/>
        <v>200</v>
      </c>
    </row>
    <row r="157">
      <c r="B157" s="6" t="s">
        <v>193</v>
      </c>
      <c r="C157" s="6" t="s">
        <v>14</v>
      </c>
      <c r="D157" s="6" t="s">
        <v>15</v>
      </c>
      <c r="E157" s="6" t="s">
        <v>32</v>
      </c>
      <c r="F157" s="6" t="s">
        <v>17</v>
      </c>
      <c r="G157" s="6" t="s">
        <v>18</v>
      </c>
      <c r="H157" s="7">
        <v>45078.0</v>
      </c>
      <c r="I157" s="8">
        <v>260.0</v>
      </c>
      <c r="J157" s="8">
        <v>60.99</v>
      </c>
      <c r="K157" s="8">
        <v>388.36</v>
      </c>
      <c r="L157" s="27">
        <f t="shared" si="1"/>
        <v>15857.4</v>
      </c>
      <c r="M157" s="27">
        <f t="shared" si="2"/>
        <v>-85116.2</v>
      </c>
      <c r="N157" s="27">
        <f t="shared" si="3"/>
        <v>199</v>
      </c>
    </row>
    <row r="158">
      <c r="B158" s="6" t="s">
        <v>194</v>
      </c>
      <c r="C158" s="6" t="s">
        <v>26</v>
      </c>
      <c r="D158" s="6" t="s">
        <v>63</v>
      </c>
      <c r="E158" s="6" t="s">
        <v>32</v>
      </c>
      <c r="F158" s="6" t="s">
        <v>28</v>
      </c>
      <c r="G158" s="6" t="s">
        <v>18</v>
      </c>
      <c r="H158" s="7">
        <v>45079.0</v>
      </c>
      <c r="I158" s="8">
        <v>236.0</v>
      </c>
      <c r="J158" s="8">
        <v>398.78</v>
      </c>
      <c r="K158" s="8">
        <v>377.04</v>
      </c>
      <c r="L158" s="27">
        <f t="shared" si="1"/>
        <v>94112.08</v>
      </c>
      <c r="M158" s="27">
        <f t="shared" si="2"/>
        <v>5130.64</v>
      </c>
      <c r="N158" s="27">
        <f t="shared" si="3"/>
        <v>198</v>
      </c>
    </row>
    <row r="159">
      <c r="B159" s="6" t="s">
        <v>195</v>
      </c>
      <c r="C159" s="6" t="s">
        <v>14</v>
      </c>
      <c r="D159" s="6" t="s">
        <v>31</v>
      </c>
      <c r="E159" s="6" t="s">
        <v>27</v>
      </c>
      <c r="F159" s="6" t="s">
        <v>17</v>
      </c>
      <c r="G159" s="6" t="s">
        <v>33</v>
      </c>
      <c r="H159" s="7">
        <v>45080.0</v>
      </c>
      <c r="I159" s="8">
        <v>445.0</v>
      </c>
      <c r="J159" s="8">
        <v>459.75</v>
      </c>
      <c r="K159" s="8">
        <v>313.97</v>
      </c>
      <c r="L159" s="27">
        <f t="shared" si="1"/>
        <v>204588.75</v>
      </c>
      <c r="M159" s="27">
        <f t="shared" si="2"/>
        <v>64872.1</v>
      </c>
      <c r="N159" s="27">
        <f t="shared" si="3"/>
        <v>197</v>
      </c>
    </row>
    <row r="160">
      <c r="B160" s="6" t="s">
        <v>196</v>
      </c>
      <c r="C160" s="6" t="s">
        <v>26</v>
      </c>
      <c r="D160" s="6" t="s">
        <v>15</v>
      </c>
      <c r="E160" s="6" t="s">
        <v>27</v>
      </c>
      <c r="F160" s="6" t="s">
        <v>28</v>
      </c>
      <c r="G160" s="6" t="s">
        <v>18</v>
      </c>
      <c r="H160" s="7">
        <v>45081.0</v>
      </c>
      <c r="I160" s="8">
        <v>390.0</v>
      </c>
      <c r="J160" s="8">
        <v>302.3</v>
      </c>
      <c r="K160" s="8">
        <v>143.23</v>
      </c>
      <c r="L160" s="27">
        <f t="shared" si="1"/>
        <v>117897</v>
      </c>
      <c r="M160" s="27">
        <f t="shared" si="2"/>
        <v>62037.3</v>
      </c>
      <c r="N160" s="27">
        <f t="shared" si="3"/>
        <v>196</v>
      </c>
    </row>
    <row r="161">
      <c r="B161" s="6" t="s">
        <v>197</v>
      </c>
      <c r="C161" s="6" t="s">
        <v>61</v>
      </c>
      <c r="D161" s="6" t="s">
        <v>31</v>
      </c>
      <c r="E161" s="6" t="s">
        <v>32</v>
      </c>
      <c r="F161" s="6" t="s">
        <v>17</v>
      </c>
      <c r="G161" s="6" t="s">
        <v>23</v>
      </c>
      <c r="H161" s="7">
        <v>45082.0</v>
      </c>
      <c r="I161" s="8">
        <v>469.0</v>
      </c>
      <c r="J161" s="8">
        <v>470.73</v>
      </c>
      <c r="K161" s="8">
        <v>166.03</v>
      </c>
      <c r="L161" s="27">
        <f t="shared" si="1"/>
        <v>220772.37</v>
      </c>
      <c r="M161" s="27">
        <f t="shared" si="2"/>
        <v>142904.3</v>
      </c>
      <c r="N161" s="27">
        <f t="shared" si="3"/>
        <v>195</v>
      </c>
    </row>
    <row r="162">
      <c r="B162" s="6" t="s">
        <v>198</v>
      </c>
      <c r="C162" s="6" t="s">
        <v>14</v>
      </c>
      <c r="D162" s="6" t="s">
        <v>39</v>
      </c>
      <c r="E162" s="6" t="s">
        <v>22</v>
      </c>
      <c r="F162" s="6" t="s">
        <v>17</v>
      </c>
      <c r="G162" s="6" t="s">
        <v>18</v>
      </c>
      <c r="H162" s="7">
        <v>45083.0</v>
      </c>
      <c r="I162" s="8">
        <v>16.0</v>
      </c>
      <c r="J162" s="6"/>
      <c r="K162" s="8">
        <v>220.75</v>
      </c>
      <c r="L162" s="27" t="str">
        <f t="shared" si="1"/>
        <v/>
      </c>
      <c r="M162" s="27" t="str">
        <f t="shared" si="2"/>
        <v/>
      </c>
      <c r="N162" s="27">
        <f t="shared" si="3"/>
        <v>194</v>
      </c>
    </row>
    <row r="163">
      <c r="B163" s="6" t="s">
        <v>199</v>
      </c>
      <c r="C163" s="6" t="s">
        <v>61</v>
      </c>
      <c r="D163" s="6" t="s">
        <v>21</v>
      </c>
      <c r="E163" s="6" t="s">
        <v>55</v>
      </c>
      <c r="F163" s="6" t="s">
        <v>28</v>
      </c>
      <c r="G163" s="6" t="s">
        <v>23</v>
      </c>
      <c r="H163" s="7">
        <v>45084.0</v>
      </c>
      <c r="I163" s="8">
        <v>38.0</v>
      </c>
      <c r="J163" s="8">
        <v>335.15</v>
      </c>
      <c r="K163" s="8">
        <v>332.55</v>
      </c>
      <c r="L163" s="27">
        <f t="shared" si="1"/>
        <v>12735.7</v>
      </c>
      <c r="M163" s="27">
        <f t="shared" si="2"/>
        <v>98.8</v>
      </c>
      <c r="N163" s="27">
        <f t="shared" si="3"/>
        <v>193</v>
      </c>
    </row>
    <row r="164">
      <c r="B164" s="6" t="s">
        <v>200</v>
      </c>
      <c r="C164" s="6" t="s">
        <v>26</v>
      </c>
      <c r="D164" s="6" t="s">
        <v>39</v>
      </c>
      <c r="E164" s="6"/>
      <c r="F164" s="6" t="s">
        <v>28</v>
      </c>
      <c r="G164" s="6" t="s">
        <v>33</v>
      </c>
      <c r="H164" s="7">
        <v>45085.0</v>
      </c>
      <c r="I164" s="8">
        <v>404.0</v>
      </c>
      <c r="J164" s="8">
        <v>290.71</v>
      </c>
      <c r="K164" s="8">
        <v>29.35</v>
      </c>
      <c r="L164" s="27">
        <f t="shared" si="1"/>
        <v>117446.84</v>
      </c>
      <c r="M164" s="27">
        <f t="shared" si="2"/>
        <v>105589.44</v>
      </c>
      <c r="N164" s="27">
        <f t="shared" si="3"/>
        <v>192</v>
      </c>
    </row>
    <row r="165">
      <c r="B165" s="6" t="s">
        <v>201</v>
      </c>
      <c r="C165" s="6" t="s">
        <v>20</v>
      </c>
      <c r="D165" s="6" t="s">
        <v>15</v>
      </c>
      <c r="E165" s="6" t="s">
        <v>22</v>
      </c>
      <c r="F165" s="6" t="s">
        <v>17</v>
      </c>
      <c r="G165" s="6" t="s">
        <v>23</v>
      </c>
      <c r="H165" s="7">
        <v>45086.0</v>
      </c>
      <c r="I165" s="8">
        <v>42.0</v>
      </c>
      <c r="J165" s="8">
        <v>177.54</v>
      </c>
      <c r="K165" s="8">
        <v>170.87</v>
      </c>
      <c r="L165" s="27">
        <f t="shared" si="1"/>
        <v>7456.68</v>
      </c>
      <c r="M165" s="27">
        <f t="shared" si="2"/>
        <v>280.14</v>
      </c>
      <c r="N165" s="27">
        <f t="shared" si="3"/>
        <v>191</v>
      </c>
    </row>
    <row r="166">
      <c r="B166" s="6" t="s">
        <v>202</v>
      </c>
      <c r="C166" s="6" t="s">
        <v>14</v>
      </c>
      <c r="D166" s="6" t="s">
        <v>31</v>
      </c>
      <c r="E166" s="6" t="s">
        <v>32</v>
      </c>
      <c r="F166" s="6" t="s">
        <v>28</v>
      </c>
      <c r="G166" s="6" t="s">
        <v>23</v>
      </c>
      <c r="H166" s="7">
        <v>45087.0</v>
      </c>
      <c r="I166" s="8">
        <v>143.0</v>
      </c>
      <c r="J166" s="8">
        <v>83.85</v>
      </c>
      <c r="K166" s="8">
        <v>34.88</v>
      </c>
      <c r="L166" s="27">
        <f t="shared" si="1"/>
        <v>11990.55</v>
      </c>
      <c r="M166" s="27">
        <f t="shared" si="2"/>
        <v>7002.71</v>
      </c>
      <c r="N166" s="27">
        <f t="shared" si="3"/>
        <v>190</v>
      </c>
    </row>
    <row r="167">
      <c r="B167" s="6" t="s">
        <v>203</v>
      </c>
      <c r="C167" s="6" t="s">
        <v>26</v>
      </c>
      <c r="D167" s="6" t="s">
        <v>31</v>
      </c>
      <c r="E167" s="6" t="s">
        <v>27</v>
      </c>
      <c r="F167" s="6" t="s">
        <v>17</v>
      </c>
      <c r="G167" s="6" t="s">
        <v>18</v>
      </c>
      <c r="H167" s="7">
        <v>45088.0</v>
      </c>
      <c r="I167" s="8">
        <v>376.0</v>
      </c>
      <c r="J167" s="8">
        <v>304.45</v>
      </c>
      <c r="K167" s="8">
        <v>206.83</v>
      </c>
      <c r="L167" s="27">
        <f t="shared" si="1"/>
        <v>114473.2</v>
      </c>
      <c r="M167" s="27">
        <f t="shared" si="2"/>
        <v>36705.12</v>
      </c>
      <c r="N167" s="27">
        <f t="shared" si="3"/>
        <v>189</v>
      </c>
    </row>
    <row r="168">
      <c r="B168" s="6" t="s">
        <v>204</v>
      </c>
      <c r="C168" s="6" t="s">
        <v>20</v>
      </c>
      <c r="D168" s="6" t="s">
        <v>63</v>
      </c>
      <c r="E168" s="6" t="s">
        <v>55</v>
      </c>
      <c r="F168" s="6" t="s">
        <v>17</v>
      </c>
      <c r="G168" s="6" t="s">
        <v>18</v>
      </c>
      <c r="H168" s="7">
        <v>45089.0</v>
      </c>
      <c r="I168" s="8">
        <v>88.0</v>
      </c>
      <c r="J168" s="8">
        <v>162.47</v>
      </c>
      <c r="K168" s="8">
        <v>359.76</v>
      </c>
      <c r="L168" s="27">
        <f t="shared" si="1"/>
        <v>14297.36</v>
      </c>
      <c r="M168" s="27">
        <f t="shared" si="2"/>
        <v>-17361.52</v>
      </c>
      <c r="N168" s="27">
        <f t="shared" si="3"/>
        <v>188</v>
      </c>
    </row>
    <row r="169">
      <c r="B169" s="6" t="s">
        <v>205</v>
      </c>
      <c r="C169" s="6" t="s">
        <v>20</v>
      </c>
      <c r="D169" s="6" t="s">
        <v>31</v>
      </c>
      <c r="E169" s="6" t="s">
        <v>16</v>
      </c>
      <c r="F169" s="6" t="s">
        <v>17</v>
      </c>
      <c r="G169" s="6" t="s">
        <v>23</v>
      </c>
      <c r="H169" s="7">
        <v>45090.0</v>
      </c>
      <c r="I169" s="8">
        <v>425.0</v>
      </c>
      <c r="J169" s="8">
        <v>433.89</v>
      </c>
      <c r="K169" s="8">
        <v>313.43</v>
      </c>
      <c r="L169" s="27">
        <f t="shared" si="1"/>
        <v>184403.25</v>
      </c>
      <c r="M169" s="27">
        <f t="shared" si="2"/>
        <v>51195.5</v>
      </c>
      <c r="N169" s="27">
        <f t="shared" si="3"/>
        <v>187</v>
      </c>
    </row>
    <row r="170">
      <c r="B170" s="6" t="s">
        <v>206</v>
      </c>
      <c r="C170" s="6" t="s">
        <v>61</v>
      </c>
      <c r="D170" s="6" t="s">
        <v>63</v>
      </c>
      <c r="E170" s="6" t="s">
        <v>16</v>
      </c>
      <c r="F170" s="6" t="s">
        <v>28</v>
      </c>
      <c r="G170" s="6" t="s">
        <v>18</v>
      </c>
      <c r="H170" s="7">
        <v>45091.0</v>
      </c>
      <c r="I170" s="8">
        <v>444.0</v>
      </c>
      <c r="J170" s="8">
        <v>496.7</v>
      </c>
      <c r="K170" s="8">
        <v>92.68</v>
      </c>
      <c r="L170" s="27">
        <f t="shared" si="1"/>
        <v>220534.8</v>
      </c>
      <c r="M170" s="27">
        <f t="shared" si="2"/>
        <v>179384.88</v>
      </c>
      <c r="N170" s="27">
        <f t="shared" si="3"/>
        <v>186</v>
      </c>
    </row>
    <row r="171">
      <c r="B171" s="6" t="s">
        <v>207</v>
      </c>
      <c r="C171" s="6" t="s">
        <v>26</v>
      </c>
      <c r="D171" s="6" t="s">
        <v>21</v>
      </c>
      <c r="E171" s="6" t="s">
        <v>22</v>
      </c>
      <c r="F171" s="6" t="s">
        <v>17</v>
      </c>
      <c r="G171" s="6" t="s">
        <v>33</v>
      </c>
      <c r="H171" s="7">
        <v>45092.0</v>
      </c>
      <c r="I171" s="8">
        <v>468.0</v>
      </c>
      <c r="J171" s="8">
        <v>377.45</v>
      </c>
      <c r="K171" s="8">
        <v>390.44</v>
      </c>
      <c r="L171" s="27">
        <f t="shared" si="1"/>
        <v>176646.6</v>
      </c>
      <c r="M171" s="27">
        <f t="shared" si="2"/>
        <v>-6079.32</v>
      </c>
      <c r="N171" s="27">
        <f t="shared" si="3"/>
        <v>185</v>
      </c>
    </row>
    <row r="172">
      <c r="B172" s="6" t="s">
        <v>208</v>
      </c>
      <c r="C172" s="6" t="s">
        <v>20</v>
      </c>
      <c r="D172" s="6" t="s">
        <v>15</v>
      </c>
      <c r="E172" s="6" t="s">
        <v>32</v>
      </c>
      <c r="F172" s="6" t="s">
        <v>17</v>
      </c>
      <c r="G172" s="6" t="s">
        <v>33</v>
      </c>
      <c r="H172" s="7">
        <v>45093.0</v>
      </c>
      <c r="I172" s="8">
        <v>67.0</v>
      </c>
      <c r="J172" s="8">
        <v>49.79</v>
      </c>
      <c r="K172" s="8">
        <v>267.61</v>
      </c>
      <c r="L172" s="27">
        <f t="shared" si="1"/>
        <v>3335.93</v>
      </c>
      <c r="M172" s="27">
        <f t="shared" si="2"/>
        <v>-14593.94</v>
      </c>
      <c r="N172" s="27">
        <f t="shared" si="3"/>
        <v>184</v>
      </c>
    </row>
    <row r="173">
      <c r="B173" s="6" t="s">
        <v>209</v>
      </c>
      <c r="C173" s="6" t="s">
        <v>14</v>
      </c>
      <c r="D173" s="6" t="s">
        <v>63</v>
      </c>
      <c r="E173" s="6" t="s">
        <v>55</v>
      </c>
      <c r="F173" s="6" t="s">
        <v>28</v>
      </c>
      <c r="G173" s="6" t="s">
        <v>18</v>
      </c>
      <c r="H173" s="7">
        <v>45094.0</v>
      </c>
      <c r="I173" s="8">
        <v>480.0</v>
      </c>
      <c r="J173" s="8">
        <v>147.9</v>
      </c>
      <c r="K173" s="8">
        <v>6.15</v>
      </c>
      <c r="L173" s="27">
        <f t="shared" si="1"/>
        <v>70992</v>
      </c>
      <c r="M173" s="27">
        <f t="shared" si="2"/>
        <v>68040</v>
      </c>
      <c r="N173" s="27">
        <f t="shared" si="3"/>
        <v>183</v>
      </c>
    </row>
    <row r="174">
      <c r="B174" s="6" t="s">
        <v>210</v>
      </c>
      <c r="C174" s="6" t="s">
        <v>14</v>
      </c>
      <c r="D174" s="6" t="s">
        <v>21</v>
      </c>
      <c r="E174" s="6" t="s">
        <v>32</v>
      </c>
      <c r="F174" s="6" t="s">
        <v>28</v>
      </c>
      <c r="G174" s="6" t="s">
        <v>33</v>
      </c>
      <c r="H174" s="7">
        <v>45095.0</v>
      </c>
      <c r="I174" s="8">
        <v>35.0</v>
      </c>
      <c r="J174" s="8">
        <v>59.01</v>
      </c>
      <c r="K174" s="8">
        <v>103.65</v>
      </c>
      <c r="L174" s="27">
        <f t="shared" si="1"/>
        <v>2065.35</v>
      </c>
      <c r="M174" s="27">
        <f t="shared" si="2"/>
        <v>-1562.4</v>
      </c>
      <c r="N174" s="27">
        <f t="shared" si="3"/>
        <v>182</v>
      </c>
    </row>
    <row r="175">
      <c r="B175" s="6" t="s">
        <v>211</v>
      </c>
      <c r="C175" s="6" t="s">
        <v>61</v>
      </c>
      <c r="D175" s="6" t="s">
        <v>31</v>
      </c>
      <c r="E175" s="6" t="s">
        <v>55</v>
      </c>
      <c r="F175" s="6" t="s">
        <v>28</v>
      </c>
      <c r="G175" s="6" t="s">
        <v>18</v>
      </c>
      <c r="H175" s="7">
        <v>45096.0</v>
      </c>
      <c r="I175" s="8">
        <v>491.0</v>
      </c>
      <c r="J175" s="8">
        <v>327.0</v>
      </c>
      <c r="K175" s="8">
        <v>105.76</v>
      </c>
      <c r="L175" s="27">
        <f t="shared" si="1"/>
        <v>160557</v>
      </c>
      <c r="M175" s="27">
        <f t="shared" si="2"/>
        <v>108628.84</v>
      </c>
      <c r="N175" s="27">
        <f t="shared" si="3"/>
        <v>181</v>
      </c>
    </row>
    <row r="176">
      <c r="B176" s="6" t="s">
        <v>212</v>
      </c>
      <c r="C176" s="6" t="s">
        <v>20</v>
      </c>
      <c r="D176" s="6" t="s">
        <v>31</v>
      </c>
      <c r="E176" s="6" t="s">
        <v>22</v>
      </c>
      <c r="F176" s="6" t="s">
        <v>28</v>
      </c>
      <c r="G176" s="6" t="s">
        <v>23</v>
      </c>
      <c r="H176" s="7">
        <v>45097.0</v>
      </c>
      <c r="I176" s="8">
        <v>439.0</v>
      </c>
      <c r="J176" s="8">
        <v>383.77</v>
      </c>
      <c r="K176" s="8">
        <v>29.56</v>
      </c>
      <c r="L176" s="27">
        <f t="shared" si="1"/>
        <v>168475.03</v>
      </c>
      <c r="M176" s="27">
        <f t="shared" si="2"/>
        <v>155498.19</v>
      </c>
      <c r="N176" s="27">
        <f t="shared" si="3"/>
        <v>180</v>
      </c>
    </row>
    <row r="177">
      <c r="B177" s="6" t="s">
        <v>213</v>
      </c>
      <c r="C177" s="6" t="s">
        <v>26</v>
      </c>
      <c r="D177" s="6" t="s">
        <v>21</v>
      </c>
      <c r="E177" s="6" t="s">
        <v>22</v>
      </c>
      <c r="F177" s="6" t="s">
        <v>17</v>
      </c>
      <c r="G177" s="6" t="s">
        <v>23</v>
      </c>
      <c r="H177" s="7">
        <v>45098.0</v>
      </c>
      <c r="I177" s="8">
        <v>235.0</v>
      </c>
      <c r="J177" s="8">
        <v>463.21</v>
      </c>
      <c r="K177" s="8">
        <v>384.01</v>
      </c>
      <c r="L177" s="27">
        <f t="shared" si="1"/>
        <v>108854.35</v>
      </c>
      <c r="M177" s="27">
        <f t="shared" si="2"/>
        <v>18612</v>
      </c>
      <c r="N177" s="27">
        <f t="shared" si="3"/>
        <v>179</v>
      </c>
    </row>
    <row r="178">
      <c r="B178" s="6" t="s">
        <v>214</v>
      </c>
      <c r="C178" s="6" t="s">
        <v>14</v>
      </c>
      <c r="D178" s="6" t="s">
        <v>31</v>
      </c>
      <c r="E178" s="6" t="s">
        <v>16</v>
      </c>
      <c r="F178" s="6" t="s">
        <v>17</v>
      </c>
      <c r="G178" s="6" t="s">
        <v>33</v>
      </c>
      <c r="H178" s="7">
        <v>45099.0</v>
      </c>
      <c r="I178" s="8">
        <v>294.0</v>
      </c>
      <c r="J178" s="8">
        <v>221.9</v>
      </c>
      <c r="K178" s="8">
        <v>192.35</v>
      </c>
      <c r="L178" s="27">
        <f t="shared" si="1"/>
        <v>65238.6</v>
      </c>
      <c r="M178" s="27">
        <f t="shared" si="2"/>
        <v>8687.7</v>
      </c>
      <c r="N178" s="27">
        <f t="shared" si="3"/>
        <v>178</v>
      </c>
    </row>
    <row r="179">
      <c r="B179" s="6" t="s">
        <v>215</v>
      </c>
      <c r="C179" s="6" t="s">
        <v>20</v>
      </c>
      <c r="D179" s="6" t="s">
        <v>21</v>
      </c>
      <c r="E179" s="6" t="s">
        <v>32</v>
      </c>
      <c r="F179" s="6" t="s">
        <v>17</v>
      </c>
      <c r="G179" s="6" t="s">
        <v>18</v>
      </c>
      <c r="H179" s="7">
        <v>45100.0</v>
      </c>
      <c r="I179" s="8">
        <v>13.0</v>
      </c>
      <c r="J179" s="8">
        <v>451.18</v>
      </c>
      <c r="K179" s="8">
        <v>358.53</v>
      </c>
      <c r="L179" s="27">
        <f t="shared" si="1"/>
        <v>5865.34</v>
      </c>
      <c r="M179" s="27">
        <f t="shared" si="2"/>
        <v>1204.45</v>
      </c>
      <c r="N179" s="27">
        <f t="shared" si="3"/>
        <v>177</v>
      </c>
    </row>
    <row r="180">
      <c r="B180" s="6" t="s">
        <v>216</v>
      </c>
      <c r="C180" s="6" t="s">
        <v>20</v>
      </c>
      <c r="D180" s="6" t="s">
        <v>63</v>
      </c>
      <c r="E180" s="6" t="s">
        <v>16</v>
      </c>
      <c r="F180" s="6" t="s">
        <v>17</v>
      </c>
      <c r="G180" s="6" t="s">
        <v>18</v>
      </c>
      <c r="H180" s="7">
        <v>45101.0</v>
      </c>
      <c r="I180" s="8">
        <v>474.0</v>
      </c>
      <c r="J180" s="8">
        <v>439.56</v>
      </c>
      <c r="K180" s="8">
        <v>130.24</v>
      </c>
      <c r="L180" s="27">
        <f t="shared" si="1"/>
        <v>208351.44</v>
      </c>
      <c r="M180" s="27">
        <f t="shared" si="2"/>
        <v>146617.68</v>
      </c>
      <c r="N180" s="27">
        <f t="shared" si="3"/>
        <v>176</v>
      </c>
    </row>
    <row r="181">
      <c r="B181" s="6" t="s">
        <v>217</v>
      </c>
      <c r="C181" s="6" t="s">
        <v>61</v>
      </c>
      <c r="D181" s="6" t="s">
        <v>63</v>
      </c>
      <c r="E181" s="6" t="s">
        <v>32</v>
      </c>
      <c r="F181" s="6" t="s">
        <v>28</v>
      </c>
      <c r="G181" s="6" t="s">
        <v>33</v>
      </c>
      <c r="H181" s="7">
        <v>45102.0</v>
      </c>
      <c r="I181" s="8">
        <v>108.0</v>
      </c>
      <c r="J181" s="8">
        <v>162.01</v>
      </c>
      <c r="K181" s="8">
        <v>51.84</v>
      </c>
      <c r="L181" s="27">
        <f t="shared" si="1"/>
        <v>17497.08</v>
      </c>
      <c r="M181" s="27">
        <f t="shared" si="2"/>
        <v>11898.36</v>
      </c>
      <c r="N181" s="27">
        <f t="shared" si="3"/>
        <v>175</v>
      </c>
    </row>
    <row r="182">
      <c r="B182" s="6" t="s">
        <v>218</v>
      </c>
      <c r="C182" s="6" t="s">
        <v>14</v>
      </c>
      <c r="D182" s="6" t="s">
        <v>21</v>
      </c>
      <c r="E182" s="6" t="s">
        <v>16</v>
      </c>
      <c r="F182" s="6" t="s">
        <v>17</v>
      </c>
      <c r="G182" s="6" t="s">
        <v>23</v>
      </c>
      <c r="H182" s="7">
        <v>45103.0</v>
      </c>
      <c r="I182" s="8">
        <v>406.0</v>
      </c>
      <c r="J182" s="8">
        <v>435.11</v>
      </c>
      <c r="K182" s="8">
        <v>190.79</v>
      </c>
      <c r="L182" s="27">
        <f t="shared" si="1"/>
        <v>176654.66</v>
      </c>
      <c r="M182" s="27">
        <f t="shared" si="2"/>
        <v>99193.92</v>
      </c>
      <c r="N182" s="27">
        <f t="shared" si="3"/>
        <v>174</v>
      </c>
    </row>
    <row r="183">
      <c r="B183" s="6" t="s">
        <v>219</v>
      </c>
      <c r="C183" s="6" t="s">
        <v>14</v>
      </c>
      <c r="D183" s="6" t="s">
        <v>63</v>
      </c>
      <c r="E183" s="6" t="s">
        <v>27</v>
      </c>
      <c r="F183" s="6" t="s">
        <v>17</v>
      </c>
      <c r="G183" s="6" t="s">
        <v>33</v>
      </c>
      <c r="H183" s="7">
        <v>45104.0</v>
      </c>
      <c r="I183" s="8">
        <v>498.0</v>
      </c>
      <c r="J183" s="8">
        <v>190.96</v>
      </c>
      <c r="K183" s="8">
        <v>47.35</v>
      </c>
      <c r="L183" s="27">
        <f t="shared" si="1"/>
        <v>95098.08</v>
      </c>
      <c r="M183" s="27">
        <f t="shared" si="2"/>
        <v>71517.78</v>
      </c>
      <c r="N183" s="27">
        <f t="shared" si="3"/>
        <v>173</v>
      </c>
    </row>
    <row r="184">
      <c r="B184" s="6" t="s">
        <v>220</v>
      </c>
      <c r="C184" s="6" t="s">
        <v>26</v>
      </c>
      <c r="D184" s="6" t="s">
        <v>63</v>
      </c>
      <c r="E184" s="6" t="s">
        <v>27</v>
      </c>
      <c r="F184" s="6" t="s">
        <v>28</v>
      </c>
      <c r="G184" s="6" t="s">
        <v>23</v>
      </c>
      <c r="H184" s="7">
        <v>45105.0</v>
      </c>
      <c r="I184" s="8">
        <v>48.0</v>
      </c>
      <c r="J184" s="8">
        <v>151.95</v>
      </c>
      <c r="K184" s="8">
        <v>195.43</v>
      </c>
      <c r="L184" s="27">
        <f t="shared" si="1"/>
        <v>7293.6</v>
      </c>
      <c r="M184" s="27">
        <f t="shared" si="2"/>
        <v>-2087.04</v>
      </c>
      <c r="N184" s="27">
        <f t="shared" si="3"/>
        <v>172</v>
      </c>
    </row>
    <row r="185">
      <c r="B185" s="6" t="s">
        <v>221</v>
      </c>
      <c r="C185" s="6" t="s">
        <v>14</v>
      </c>
      <c r="D185" s="6" t="s">
        <v>63</v>
      </c>
      <c r="E185" s="6" t="s">
        <v>27</v>
      </c>
      <c r="F185" s="6" t="s">
        <v>17</v>
      </c>
      <c r="G185" s="6" t="s">
        <v>18</v>
      </c>
      <c r="H185" s="7">
        <v>45106.0</v>
      </c>
      <c r="I185" s="8">
        <v>280.0</v>
      </c>
      <c r="J185" s="8">
        <v>326.29</v>
      </c>
      <c r="K185" s="8">
        <v>368.28</v>
      </c>
      <c r="L185" s="27">
        <f t="shared" si="1"/>
        <v>91361.2</v>
      </c>
      <c r="M185" s="27">
        <f t="shared" si="2"/>
        <v>-11757.2</v>
      </c>
      <c r="N185" s="27">
        <f t="shared" si="3"/>
        <v>171</v>
      </c>
    </row>
    <row r="186">
      <c r="B186" s="6" t="s">
        <v>222</v>
      </c>
      <c r="C186" s="6" t="s">
        <v>26</v>
      </c>
      <c r="D186" s="6" t="s">
        <v>39</v>
      </c>
      <c r="E186" s="6" t="s">
        <v>27</v>
      </c>
      <c r="F186" s="6" t="s">
        <v>17</v>
      </c>
      <c r="G186" s="6" t="s">
        <v>23</v>
      </c>
      <c r="H186" s="7">
        <v>45107.0</v>
      </c>
      <c r="I186" s="8">
        <v>384.0</v>
      </c>
      <c r="J186" s="8">
        <v>167.55</v>
      </c>
      <c r="K186" s="8">
        <v>209.27</v>
      </c>
      <c r="L186" s="27">
        <f t="shared" si="1"/>
        <v>64339.2</v>
      </c>
      <c r="M186" s="27">
        <f t="shared" si="2"/>
        <v>-16020.48</v>
      </c>
      <c r="N186" s="27">
        <f t="shared" si="3"/>
        <v>170</v>
      </c>
    </row>
    <row r="187">
      <c r="B187" s="6" t="s">
        <v>223</v>
      </c>
      <c r="C187" s="6" t="s">
        <v>14</v>
      </c>
      <c r="D187" s="6" t="s">
        <v>15</v>
      </c>
      <c r="E187" s="6" t="s">
        <v>55</v>
      </c>
      <c r="F187" s="6" t="s">
        <v>17</v>
      </c>
      <c r="G187" s="6" t="s">
        <v>33</v>
      </c>
      <c r="H187" s="7">
        <v>45108.0</v>
      </c>
      <c r="I187" s="8">
        <v>294.0</v>
      </c>
      <c r="J187" s="8">
        <v>316.95</v>
      </c>
      <c r="K187" s="8">
        <v>247.37</v>
      </c>
      <c r="L187" s="27">
        <f t="shared" si="1"/>
        <v>93183.3</v>
      </c>
      <c r="M187" s="27">
        <f t="shared" si="2"/>
        <v>20456.52</v>
      </c>
      <c r="N187" s="27">
        <f t="shared" si="3"/>
        <v>169</v>
      </c>
    </row>
    <row r="188">
      <c r="B188" s="6" t="s">
        <v>224</v>
      </c>
      <c r="C188" s="6" t="s">
        <v>61</v>
      </c>
      <c r="D188" s="6" t="s">
        <v>31</v>
      </c>
      <c r="E188" s="6" t="s">
        <v>27</v>
      </c>
      <c r="F188" s="6" t="s">
        <v>17</v>
      </c>
      <c r="G188" s="6" t="s">
        <v>18</v>
      </c>
      <c r="H188" s="7">
        <v>45109.0</v>
      </c>
      <c r="I188" s="8">
        <v>166.0</v>
      </c>
      <c r="J188" s="8">
        <v>306.87</v>
      </c>
      <c r="K188" s="8">
        <v>64.34</v>
      </c>
      <c r="L188" s="27">
        <f t="shared" si="1"/>
        <v>50940.42</v>
      </c>
      <c r="M188" s="27">
        <f t="shared" si="2"/>
        <v>40259.98</v>
      </c>
      <c r="N188" s="27">
        <f t="shared" si="3"/>
        <v>168</v>
      </c>
    </row>
    <row r="189">
      <c r="B189" s="6" t="s">
        <v>225</v>
      </c>
      <c r="C189" s="6" t="s">
        <v>14</v>
      </c>
      <c r="D189" s="6" t="s">
        <v>39</v>
      </c>
      <c r="E189" s="6" t="s">
        <v>22</v>
      </c>
      <c r="F189" s="6" t="s">
        <v>17</v>
      </c>
      <c r="G189" s="6" t="s">
        <v>33</v>
      </c>
      <c r="H189" s="7">
        <v>45110.0</v>
      </c>
      <c r="I189" s="8">
        <v>84.0</v>
      </c>
      <c r="J189" s="8">
        <v>283.9</v>
      </c>
      <c r="K189" s="8">
        <v>19.41</v>
      </c>
      <c r="L189" s="27">
        <f t="shared" si="1"/>
        <v>23847.6</v>
      </c>
      <c r="M189" s="27">
        <f t="shared" si="2"/>
        <v>22217.16</v>
      </c>
      <c r="N189" s="27">
        <f t="shared" si="3"/>
        <v>167</v>
      </c>
    </row>
    <row r="190">
      <c r="B190" s="6" t="s">
        <v>226</v>
      </c>
      <c r="C190" s="6" t="s">
        <v>26</v>
      </c>
      <c r="D190" s="6" t="s">
        <v>63</v>
      </c>
      <c r="E190" s="6" t="s">
        <v>22</v>
      </c>
      <c r="F190" s="6" t="s">
        <v>17</v>
      </c>
      <c r="G190" s="6" t="s">
        <v>33</v>
      </c>
      <c r="H190" s="7">
        <v>45111.0</v>
      </c>
      <c r="I190" s="8">
        <v>381.0</v>
      </c>
      <c r="J190" s="8">
        <v>193.31</v>
      </c>
      <c r="K190" s="8">
        <v>46.1</v>
      </c>
      <c r="L190" s="27">
        <f t="shared" si="1"/>
        <v>73651.11</v>
      </c>
      <c r="M190" s="27">
        <f t="shared" si="2"/>
        <v>56087.01</v>
      </c>
      <c r="N190" s="27">
        <f t="shared" si="3"/>
        <v>166</v>
      </c>
    </row>
    <row r="191">
      <c r="B191" s="6" t="s">
        <v>227</v>
      </c>
      <c r="C191" s="6" t="s">
        <v>26</v>
      </c>
      <c r="D191" s="6" t="s">
        <v>21</v>
      </c>
      <c r="E191" s="6" t="s">
        <v>55</v>
      </c>
      <c r="F191" s="6" t="s">
        <v>28</v>
      </c>
      <c r="G191" s="6" t="s">
        <v>23</v>
      </c>
      <c r="H191" s="7">
        <v>45112.0</v>
      </c>
      <c r="I191" s="8">
        <v>297.0</v>
      </c>
      <c r="J191" s="8">
        <v>276.51</v>
      </c>
      <c r="K191" s="8">
        <v>240.22</v>
      </c>
      <c r="L191" s="27">
        <f t="shared" si="1"/>
        <v>82123.47</v>
      </c>
      <c r="M191" s="27">
        <f t="shared" si="2"/>
        <v>10778.13</v>
      </c>
      <c r="N191" s="27">
        <f t="shared" si="3"/>
        <v>165</v>
      </c>
    </row>
    <row r="192">
      <c r="B192" s="6" t="s">
        <v>228</v>
      </c>
      <c r="C192" s="6" t="s">
        <v>61</v>
      </c>
      <c r="D192" s="6" t="s">
        <v>63</v>
      </c>
      <c r="E192" s="6" t="s">
        <v>27</v>
      </c>
      <c r="F192" s="6" t="s">
        <v>28</v>
      </c>
      <c r="G192" s="6" t="s">
        <v>33</v>
      </c>
      <c r="H192" s="7">
        <v>45113.0</v>
      </c>
      <c r="I192" s="8">
        <v>139.0</v>
      </c>
      <c r="J192" s="8">
        <v>300.26</v>
      </c>
      <c r="K192" s="8">
        <v>39.81</v>
      </c>
      <c r="L192" s="27">
        <f t="shared" si="1"/>
        <v>41736.14</v>
      </c>
      <c r="M192" s="27">
        <f t="shared" si="2"/>
        <v>36202.55</v>
      </c>
      <c r="N192" s="27">
        <f t="shared" si="3"/>
        <v>164</v>
      </c>
    </row>
    <row r="193">
      <c r="B193" s="6" t="s">
        <v>229</v>
      </c>
      <c r="C193" s="6" t="s">
        <v>14</v>
      </c>
      <c r="D193" s="6" t="s">
        <v>15</v>
      </c>
      <c r="E193" s="6" t="s">
        <v>27</v>
      </c>
      <c r="F193" s="6" t="s">
        <v>17</v>
      </c>
      <c r="G193" s="6" t="s">
        <v>23</v>
      </c>
      <c r="H193" s="7">
        <v>45114.0</v>
      </c>
      <c r="I193" s="8">
        <v>184.0</v>
      </c>
      <c r="J193" s="8">
        <v>275.12</v>
      </c>
      <c r="K193" s="8">
        <v>151.65</v>
      </c>
      <c r="L193" s="27">
        <f t="shared" si="1"/>
        <v>50622.08</v>
      </c>
      <c r="M193" s="27">
        <f t="shared" si="2"/>
        <v>22718.48</v>
      </c>
      <c r="N193" s="27">
        <f t="shared" si="3"/>
        <v>163</v>
      </c>
    </row>
    <row r="194">
      <c r="B194" s="6" t="s">
        <v>230</v>
      </c>
      <c r="C194" s="6" t="s">
        <v>14</v>
      </c>
      <c r="D194" s="6" t="s">
        <v>63</v>
      </c>
      <c r="E194" s="6" t="s">
        <v>27</v>
      </c>
      <c r="F194" s="6" t="s">
        <v>17</v>
      </c>
      <c r="G194" s="6" t="s">
        <v>18</v>
      </c>
      <c r="H194" s="7">
        <v>45115.0</v>
      </c>
      <c r="I194" s="8">
        <v>471.0</v>
      </c>
      <c r="J194" s="8">
        <v>224.99</v>
      </c>
      <c r="K194" s="8">
        <v>220.94</v>
      </c>
      <c r="L194" s="27">
        <f t="shared" si="1"/>
        <v>105970.29</v>
      </c>
      <c r="M194" s="27">
        <f t="shared" si="2"/>
        <v>1907.55</v>
      </c>
      <c r="N194" s="27">
        <f t="shared" si="3"/>
        <v>162</v>
      </c>
    </row>
    <row r="195">
      <c r="B195" s="6" t="s">
        <v>231</v>
      </c>
      <c r="C195" s="6" t="s">
        <v>61</v>
      </c>
      <c r="D195" s="6" t="s">
        <v>21</v>
      </c>
      <c r="E195" s="6" t="s">
        <v>16</v>
      </c>
      <c r="F195" s="6" t="s">
        <v>28</v>
      </c>
      <c r="G195" s="6" t="s">
        <v>23</v>
      </c>
      <c r="H195" s="7">
        <v>45116.0</v>
      </c>
      <c r="I195" s="8">
        <v>93.0</v>
      </c>
      <c r="J195" s="8">
        <v>12.26</v>
      </c>
      <c r="K195" s="8">
        <v>156.68</v>
      </c>
      <c r="L195" s="27">
        <f t="shared" si="1"/>
        <v>1140.18</v>
      </c>
      <c r="M195" s="27">
        <f t="shared" si="2"/>
        <v>-13431.06</v>
      </c>
      <c r="N195" s="27">
        <f t="shared" si="3"/>
        <v>161</v>
      </c>
    </row>
    <row r="196">
      <c r="B196" s="6" t="s">
        <v>232</v>
      </c>
      <c r="C196" s="6" t="s">
        <v>14</v>
      </c>
      <c r="D196" s="6" t="s">
        <v>15</v>
      </c>
      <c r="E196" s="6" t="s">
        <v>32</v>
      </c>
      <c r="F196" s="6" t="s">
        <v>17</v>
      </c>
      <c r="G196" s="6" t="s">
        <v>18</v>
      </c>
      <c r="H196" s="7">
        <v>45117.0</v>
      </c>
      <c r="I196" s="8">
        <v>31.0</v>
      </c>
      <c r="J196" s="8">
        <v>295.6</v>
      </c>
      <c r="K196" s="8">
        <v>67.15</v>
      </c>
      <c r="L196" s="27">
        <f t="shared" si="1"/>
        <v>9163.6</v>
      </c>
      <c r="M196" s="27">
        <f t="shared" si="2"/>
        <v>7081.95</v>
      </c>
      <c r="N196" s="27">
        <f t="shared" si="3"/>
        <v>160</v>
      </c>
    </row>
    <row r="197">
      <c r="B197" s="6" t="s">
        <v>233</v>
      </c>
      <c r="C197" s="6" t="s">
        <v>14</v>
      </c>
      <c r="D197" s="6" t="s">
        <v>63</v>
      </c>
      <c r="E197" s="6" t="s">
        <v>16</v>
      </c>
      <c r="F197" s="6" t="s">
        <v>17</v>
      </c>
      <c r="G197" s="6" t="s">
        <v>23</v>
      </c>
      <c r="H197" s="7">
        <v>45118.0</v>
      </c>
      <c r="I197" s="8">
        <v>468.0</v>
      </c>
      <c r="J197" s="8">
        <v>88.38</v>
      </c>
      <c r="K197" s="8">
        <v>110.97</v>
      </c>
      <c r="L197" s="27">
        <f t="shared" si="1"/>
        <v>41361.84</v>
      </c>
      <c r="M197" s="27">
        <f t="shared" si="2"/>
        <v>-10572.12</v>
      </c>
      <c r="N197" s="27">
        <f t="shared" si="3"/>
        <v>159</v>
      </c>
    </row>
    <row r="198">
      <c r="B198" s="6" t="s">
        <v>234</v>
      </c>
      <c r="C198" s="6" t="s">
        <v>26</v>
      </c>
      <c r="D198" s="6" t="s">
        <v>15</v>
      </c>
      <c r="E198" s="6" t="s">
        <v>32</v>
      </c>
      <c r="F198" s="6" t="s">
        <v>17</v>
      </c>
      <c r="G198" s="6" t="s">
        <v>33</v>
      </c>
      <c r="H198" s="7">
        <v>45119.0</v>
      </c>
      <c r="I198" s="8">
        <v>36.0</v>
      </c>
      <c r="J198" s="8">
        <v>323.08</v>
      </c>
      <c r="K198" s="8">
        <v>371.47</v>
      </c>
      <c r="L198" s="27">
        <f t="shared" si="1"/>
        <v>11630.88</v>
      </c>
      <c r="M198" s="27">
        <f t="shared" si="2"/>
        <v>-1742.04</v>
      </c>
      <c r="N198" s="27">
        <f t="shared" si="3"/>
        <v>158</v>
      </c>
    </row>
    <row r="199">
      <c r="B199" s="6" t="s">
        <v>235</v>
      </c>
      <c r="C199" s="6" t="s">
        <v>14</v>
      </c>
      <c r="D199" s="6" t="s">
        <v>31</v>
      </c>
      <c r="E199" s="6" t="s">
        <v>27</v>
      </c>
      <c r="F199" s="6" t="s">
        <v>28</v>
      </c>
      <c r="G199" s="6" t="s">
        <v>23</v>
      </c>
      <c r="H199" s="7">
        <v>45120.0</v>
      </c>
      <c r="I199" s="8">
        <v>204.0</v>
      </c>
      <c r="J199" s="8">
        <v>380.88</v>
      </c>
      <c r="K199" s="8">
        <v>271.04</v>
      </c>
      <c r="L199" s="27">
        <f t="shared" si="1"/>
        <v>77699.52</v>
      </c>
      <c r="M199" s="27">
        <f t="shared" si="2"/>
        <v>22407.36</v>
      </c>
      <c r="N199" s="27">
        <f t="shared" si="3"/>
        <v>157</v>
      </c>
    </row>
    <row r="200">
      <c r="B200" s="6" t="s">
        <v>236</v>
      </c>
      <c r="C200" s="6" t="s">
        <v>14</v>
      </c>
      <c r="D200" s="6" t="s">
        <v>31</v>
      </c>
      <c r="E200" s="6" t="s">
        <v>27</v>
      </c>
      <c r="F200" s="6" t="s">
        <v>17</v>
      </c>
      <c r="G200" s="6" t="s">
        <v>23</v>
      </c>
      <c r="H200" s="7">
        <v>45121.0</v>
      </c>
      <c r="I200" s="8">
        <v>346.0</v>
      </c>
      <c r="J200" s="8">
        <v>252.72</v>
      </c>
      <c r="K200" s="8">
        <v>199.43</v>
      </c>
      <c r="L200" s="27">
        <f t="shared" si="1"/>
        <v>87441.12</v>
      </c>
      <c r="M200" s="27">
        <f t="shared" si="2"/>
        <v>18438.34</v>
      </c>
      <c r="N200" s="27">
        <f t="shared" si="3"/>
        <v>156</v>
      </c>
    </row>
    <row r="201">
      <c r="B201" s="6" t="s">
        <v>237</v>
      </c>
      <c r="C201" s="6" t="s">
        <v>61</v>
      </c>
      <c r="D201" s="6" t="s">
        <v>63</v>
      </c>
      <c r="E201" s="6" t="s">
        <v>16</v>
      </c>
      <c r="F201" s="6" t="s">
        <v>28</v>
      </c>
      <c r="G201" s="6" t="s">
        <v>18</v>
      </c>
      <c r="H201" s="7">
        <v>45122.0</v>
      </c>
      <c r="I201" s="8">
        <v>391.0</v>
      </c>
      <c r="J201" s="8">
        <v>273.47</v>
      </c>
      <c r="K201" s="8">
        <v>7.06</v>
      </c>
      <c r="L201" s="27">
        <f t="shared" si="1"/>
        <v>106926.77</v>
      </c>
      <c r="M201" s="27">
        <f t="shared" si="2"/>
        <v>104166.31</v>
      </c>
      <c r="N201" s="27">
        <f t="shared" si="3"/>
        <v>155</v>
      </c>
    </row>
    <row r="202">
      <c r="B202" s="6" t="s">
        <v>238</v>
      </c>
      <c r="C202" s="6" t="s">
        <v>61</v>
      </c>
      <c r="D202" s="6" t="s">
        <v>15</v>
      </c>
      <c r="E202" s="6" t="s">
        <v>16</v>
      </c>
      <c r="F202" s="6" t="s">
        <v>17</v>
      </c>
      <c r="G202" s="6" t="s">
        <v>33</v>
      </c>
      <c r="H202" s="7">
        <v>45123.0</v>
      </c>
      <c r="I202" s="8">
        <v>245.0</v>
      </c>
      <c r="J202" s="8">
        <v>475.98</v>
      </c>
      <c r="K202" s="8">
        <v>396.98</v>
      </c>
      <c r="L202" s="27">
        <f t="shared" si="1"/>
        <v>116615.1</v>
      </c>
      <c r="M202" s="27">
        <f t="shared" si="2"/>
        <v>19355</v>
      </c>
      <c r="N202" s="27">
        <f t="shared" si="3"/>
        <v>154</v>
      </c>
    </row>
    <row r="203">
      <c r="B203" s="6" t="s">
        <v>239</v>
      </c>
      <c r="C203" s="6" t="s">
        <v>20</v>
      </c>
      <c r="D203" s="6" t="s">
        <v>21</v>
      </c>
      <c r="E203" s="6" t="s">
        <v>32</v>
      </c>
      <c r="F203" s="6" t="s">
        <v>28</v>
      </c>
      <c r="G203" s="6" t="s">
        <v>23</v>
      </c>
      <c r="H203" s="7">
        <v>45124.0</v>
      </c>
      <c r="I203" s="8">
        <v>449.0</v>
      </c>
      <c r="J203" s="8">
        <v>424.35</v>
      </c>
      <c r="K203" s="8">
        <v>269.24</v>
      </c>
      <c r="L203" s="27">
        <f t="shared" si="1"/>
        <v>190533.15</v>
      </c>
      <c r="M203" s="27">
        <f t="shared" si="2"/>
        <v>69644.39</v>
      </c>
      <c r="N203" s="27">
        <f t="shared" si="3"/>
        <v>153</v>
      </c>
    </row>
    <row r="204">
      <c r="B204" s="6" t="s">
        <v>240</v>
      </c>
      <c r="C204" s="6" t="s">
        <v>26</v>
      </c>
      <c r="D204" s="6" t="s">
        <v>63</v>
      </c>
      <c r="E204" s="6" t="s">
        <v>22</v>
      </c>
      <c r="F204" s="6" t="s">
        <v>28</v>
      </c>
      <c r="G204" s="6" t="s">
        <v>33</v>
      </c>
      <c r="H204" s="7">
        <v>45125.0</v>
      </c>
      <c r="I204" s="8">
        <v>101.0</v>
      </c>
      <c r="J204" s="8">
        <v>457.55</v>
      </c>
      <c r="K204" s="8">
        <v>128.14</v>
      </c>
      <c r="L204" s="27">
        <f t="shared" si="1"/>
        <v>46212.55</v>
      </c>
      <c r="M204" s="27">
        <f t="shared" si="2"/>
        <v>33270.41</v>
      </c>
      <c r="N204" s="27">
        <f t="shared" si="3"/>
        <v>152</v>
      </c>
    </row>
    <row r="205">
      <c r="B205" s="6" t="s">
        <v>241</v>
      </c>
      <c r="C205" s="6" t="s">
        <v>14</v>
      </c>
      <c r="D205" s="6" t="s">
        <v>31</v>
      </c>
      <c r="E205" s="6" t="s">
        <v>32</v>
      </c>
      <c r="F205" s="6" t="s">
        <v>17</v>
      </c>
      <c r="G205" s="6" t="s">
        <v>23</v>
      </c>
      <c r="H205" s="7">
        <v>45126.0</v>
      </c>
      <c r="I205" s="6"/>
      <c r="J205" s="8">
        <v>407.81</v>
      </c>
      <c r="K205" s="8">
        <v>351.95</v>
      </c>
      <c r="L205" s="27" t="str">
        <f t="shared" si="1"/>
        <v/>
      </c>
      <c r="M205" s="27" t="str">
        <f t="shared" si="2"/>
        <v/>
      </c>
      <c r="N205" s="27">
        <f t="shared" si="3"/>
        <v>151</v>
      </c>
    </row>
    <row r="206">
      <c r="B206" s="6" t="s">
        <v>242</v>
      </c>
      <c r="C206" s="6" t="s">
        <v>14</v>
      </c>
      <c r="D206" s="6" t="s">
        <v>31</v>
      </c>
      <c r="E206" s="6" t="s">
        <v>16</v>
      </c>
      <c r="F206" s="6" t="s">
        <v>28</v>
      </c>
      <c r="G206" s="6" t="s">
        <v>23</v>
      </c>
      <c r="H206" s="7">
        <v>45127.0</v>
      </c>
      <c r="I206" s="8">
        <v>30.0</v>
      </c>
      <c r="J206" s="8">
        <v>58.91</v>
      </c>
      <c r="K206" s="8">
        <v>104.86</v>
      </c>
      <c r="L206" s="27">
        <f t="shared" si="1"/>
        <v>1767.3</v>
      </c>
      <c r="M206" s="27">
        <f t="shared" si="2"/>
        <v>-1378.5</v>
      </c>
      <c r="N206" s="27">
        <f t="shared" si="3"/>
        <v>150</v>
      </c>
    </row>
    <row r="207">
      <c r="B207" s="6" t="s">
        <v>243</v>
      </c>
      <c r="C207" s="6" t="s">
        <v>20</v>
      </c>
      <c r="D207" s="6" t="s">
        <v>63</v>
      </c>
      <c r="E207" s="6" t="s">
        <v>16</v>
      </c>
      <c r="F207" s="6" t="s">
        <v>17</v>
      </c>
      <c r="G207" s="6" t="s">
        <v>33</v>
      </c>
      <c r="H207" s="7">
        <v>45128.0</v>
      </c>
      <c r="I207" s="8">
        <v>312.0</v>
      </c>
      <c r="J207" s="8">
        <v>78.75</v>
      </c>
      <c r="K207" s="8">
        <v>218.52</v>
      </c>
      <c r="L207" s="27">
        <f t="shared" si="1"/>
        <v>24570</v>
      </c>
      <c r="M207" s="27">
        <f t="shared" si="2"/>
        <v>-43608.24</v>
      </c>
      <c r="N207" s="27">
        <f t="shared" si="3"/>
        <v>149</v>
      </c>
    </row>
    <row r="208">
      <c r="B208" s="6" t="s">
        <v>244</v>
      </c>
      <c r="C208" s="6" t="s">
        <v>14</v>
      </c>
      <c r="D208" s="6" t="s">
        <v>15</v>
      </c>
      <c r="E208" s="6" t="s">
        <v>55</v>
      </c>
      <c r="F208" s="6" t="s">
        <v>28</v>
      </c>
      <c r="G208" s="6" t="s">
        <v>23</v>
      </c>
      <c r="H208" s="7">
        <v>45129.0</v>
      </c>
      <c r="I208" s="8">
        <v>473.0</v>
      </c>
      <c r="J208" s="8">
        <v>265.68</v>
      </c>
      <c r="K208" s="8">
        <v>255.16</v>
      </c>
      <c r="L208" s="27">
        <f t="shared" si="1"/>
        <v>125666.64</v>
      </c>
      <c r="M208" s="27">
        <f t="shared" si="2"/>
        <v>4975.96</v>
      </c>
      <c r="N208" s="27">
        <f t="shared" si="3"/>
        <v>148</v>
      </c>
    </row>
    <row r="209">
      <c r="B209" s="6" t="s">
        <v>245</v>
      </c>
      <c r="C209" s="6" t="s">
        <v>26</v>
      </c>
      <c r="D209" s="6" t="s">
        <v>31</v>
      </c>
      <c r="E209" s="6" t="s">
        <v>16</v>
      </c>
      <c r="F209" s="6" t="s">
        <v>17</v>
      </c>
      <c r="G209" s="6" t="s">
        <v>33</v>
      </c>
      <c r="H209" s="7">
        <v>45130.0</v>
      </c>
      <c r="I209" s="8">
        <v>366.0</v>
      </c>
      <c r="J209" s="8">
        <v>126.8</v>
      </c>
      <c r="K209" s="8">
        <v>89.98</v>
      </c>
      <c r="L209" s="27">
        <f t="shared" si="1"/>
        <v>46408.8</v>
      </c>
      <c r="M209" s="27">
        <f t="shared" si="2"/>
        <v>13476.12</v>
      </c>
      <c r="N209" s="27">
        <f t="shared" si="3"/>
        <v>147</v>
      </c>
    </row>
    <row r="210">
      <c r="B210" s="6" t="s">
        <v>246</v>
      </c>
      <c r="C210" s="6" t="s">
        <v>20</v>
      </c>
      <c r="D210" s="6" t="s">
        <v>15</v>
      </c>
      <c r="E210" s="6" t="s">
        <v>55</v>
      </c>
      <c r="F210" s="6" t="s">
        <v>17</v>
      </c>
      <c r="G210" s="6" t="s">
        <v>23</v>
      </c>
      <c r="H210" s="7">
        <v>45131.0</v>
      </c>
      <c r="I210" s="8">
        <v>452.0</v>
      </c>
      <c r="J210" s="8">
        <v>240.96</v>
      </c>
      <c r="K210" s="8">
        <v>391.4</v>
      </c>
      <c r="L210" s="27">
        <f t="shared" si="1"/>
        <v>108913.92</v>
      </c>
      <c r="M210" s="27">
        <f t="shared" si="2"/>
        <v>-67998.88</v>
      </c>
      <c r="N210" s="27">
        <f t="shared" si="3"/>
        <v>146</v>
      </c>
    </row>
    <row r="211">
      <c r="B211" s="6" t="s">
        <v>247</v>
      </c>
      <c r="C211" s="6" t="s">
        <v>26</v>
      </c>
      <c r="D211" s="6" t="s">
        <v>31</v>
      </c>
      <c r="E211" s="6" t="s">
        <v>22</v>
      </c>
      <c r="F211" s="6" t="s">
        <v>28</v>
      </c>
      <c r="G211" s="6" t="s">
        <v>18</v>
      </c>
      <c r="H211" s="7">
        <v>45132.0</v>
      </c>
      <c r="I211" s="8">
        <v>93.0</v>
      </c>
      <c r="J211" s="8">
        <v>200.21</v>
      </c>
      <c r="K211" s="8">
        <v>299.78</v>
      </c>
      <c r="L211" s="27">
        <f t="shared" si="1"/>
        <v>18619.53</v>
      </c>
      <c r="M211" s="27">
        <f t="shared" si="2"/>
        <v>-9260.01</v>
      </c>
      <c r="N211" s="27">
        <f t="shared" si="3"/>
        <v>145</v>
      </c>
    </row>
    <row r="212">
      <c r="B212" s="6" t="s">
        <v>248</v>
      </c>
      <c r="C212" s="6" t="s">
        <v>20</v>
      </c>
      <c r="D212" s="6" t="s">
        <v>31</v>
      </c>
      <c r="E212" s="6" t="s">
        <v>32</v>
      </c>
      <c r="F212" s="6" t="s">
        <v>17</v>
      </c>
      <c r="G212" s="6" t="s">
        <v>33</v>
      </c>
      <c r="H212" s="7">
        <v>45133.0</v>
      </c>
      <c r="I212" s="8">
        <v>271.0</v>
      </c>
      <c r="J212" s="8">
        <v>276.96</v>
      </c>
      <c r="K212" s="8">
        <v>224.01</v>
      </c>
      <c r="L212" s="27">
        <f t="shared" si="1"/>
        <v>75056.16</v>
      </c>
      <c r="M212" s="27">
        <f t="shared" si="2"/>
        <v>14349.45</v>
      </c>
      <c r="N212" s="27">
        <f t="shared" si="3"/>
        <v>144</v>
      </c>
    </row>
    <row r="213">
      <c r="B213" s="6" t="s">
        <v>249</v>
      </c>
      <c r="C213" s="6" t="s">
        <v>20</v>
      </c>
      <c r="D213" s="6" t="s">
        <v>39</v>
      </c>
      <c r="E213" s="6" t="s">
        <v>32</v>
      </c>
      <c r="F213" s="6" t="s">
        <v>17</v>
      </c>
      <c r="G213" s="6" t="s">
        <v>23</v>
      </c>
      <c r="H213" s="7">
        <v>45134.0</v>
      </c>
      <c r="I213" s="8">
        <v>156.0</v>
      </c>
      <c r="J213" s="8">
        <v>374.7</v>
      </c>
      <c r="K213" s="8">
        <v>73.88</v>
      </c>
      <c r="L213" s="27">
        <f t="shared" si="1"/>
        <v>58453.2</v>
      </c>
      <c r="M213" s="27">
        <f t="shared" si="2"/>
        <v>46927.92</v>
      </c>
      <c r="N213" s="27">
        <f t="shared" si="3"/>
        <v>143</v>
      </c>
    </row>
    <row r="214">
      <c r="B214" s="6" t="s">
        <v>250</v>
      </c>
      <c r="C214" s="6" t="s">
        <v>61</v>
      </c>
      <c r="D214" s="6" t="s">
        <v>31</v>
      </c>
      <c r="E214" s="6" t="s">
        <v>55</v>
      </c>
      <c r="F214" s="6" t="s">
        <v>28</v>
      </c>
      <c r="G214" s="6" t="s">
        <v>23</v>
      </c>
      <c r="H214" s="7">
        <v>45135.0</v>
      </c>
      <c r="I214" s="8">
        <v>450.0</v>
      </c>
      <c r="J214" s="8">
        <v>359.17</v>
      </c>
      <c r="K214" s="8">
        <v>23.44</v>
      </c>
      <c r="L214" s="27">
        <f t="shared" si="1"/>
        <v>161626.5</v>
      </c>
      <c r="M214" s="27">
        <f t="shared" si="2"/>
        <v>151078.5</v>
      </c>
      <c r="N214" s="27">
        <f t="shared" si="3"/>
        <v>142</v>
      </c>
    </row>
    <row r="215">
      <c r="B215" s="6" t="s">
        <v>251</v>
      </c>
      <c r="C215" s="6" t="s">
        <v>26</v>
      </c>
      <c r="D215" s="6" t="s">
        <v>21</v>
      </c>
      <c r="E215" s="6" t="s">
        <v>32</v>
      </c>
      <c r="F215" s="6" t="s">
        <v>17</v>
      </c>
      <c r="G215" s="6" t="s">
        <v>18</v>
      </c>
      <c r="H215" s="7">
        <v>45136.0</v>
      </c>
      <c r="I215" s="8">
        <v>462.0</v>
      </c>
      <c r="J215" s="8">
        <v>263.01</v>
      </c>
      <c r="K215" s="8">
        <v>129.38</v>
      </c>
      <c r="L215" s="27">
        <f t="shared" si="1"/>
        <v>121510.62</v>
      </c>
      <c r="M215" s="27">
        <f t="shared" si="2"/>
        <v>61737.06</v>
      </c>
      <c r="N215" s="27">
        <f t="shared" si="3"/>
        <v>141</v>
      </c>
    </row>
    <row r="216">
      <c r="B216" s="6" t="s">
        <v>252</v>
      </c>
      <c r="C216" s="6" t="s">
        <v>14</v>
      </c>
      <c r="D216" s="6" t="s">
        <v>63</v>
      </c>
      <c r="E216" s="6"/>
      <c r="F216" s="6" t="s">
        <v>17</v>
      </c>
      <c r="G216" s="6" t="s">
        <v>33</v>
      </c>
      <c r="H216" s="7">
        <v>45137.0</v>
      </c>
      <c r="I216" s="8">
        <v>396.0</v>
      </c>
      <c r="J216" s="8">
        <v>412.08</v>
      </c>
      <c r="K216" s="8">
        <v>301.77</v>
      </c>
      <c r="L216" s="27">
        <f t="shared" si="1"/>
        <v>163183.68</v>
      </c>
      <c r="M216" s="27">
        <f t="shared" si="2"/>
        <v>43682.76</v>
      </c>
      <c r="N216" s="27">
        <f t="shared" si="3"/>
        <v>140</v>
      </c>
    </row>
    <row r="217">
      <c r="B217" s="6" t="s">
        <v>253</v>
      </c>
      <c r="C217" s="6" t="s">
        <v>14</v>
      </c>
      <c r="D217" s="6" t="s">
        <v>63</v>
      </c>
      <c r="E217" s="6" t="s">
        <v>27</v>
      </c>
      <c r="F217" s="6" t="s">
        <v>28</v>
      </c>
      <c r="G217" s="6" t="s">
        <v>23</v>
      </c>
      <c r="H217" s="7">
        <v>45138.0</v>
      </c>
      <c r="I217" s="8">
        <v>266.0</v>
      </c>
      <c r="J217" s="8">
        <v>218.28</v>
      </c>
      <c r="K217" s="8">
        <v>109.19</v>
      </c>
      <c r="L217" s="27">
        <f t="shared" si="1"/>
        <v>58062.48</v>
      </c>
      <c r="M217" s="27">
        <f t="shared" si="2"/>
        <v>29017.94</v>
      </c>
      <c r="N217" s="27">
        <f t="shared" si="3"/>
        <v>139</v>
      </c>
    </row>
    <row r="218">
      <c r="B218" s="6" t="s">
        <v>254</v>
      </c>
      <c r="C218" s="6" t="s">
        <v>26</v>
      </c>
      <c r="D218" s="6" t="s">
        <v>15</v>
      </c>
      <c r="E218" s="6" t="s">
        <v>55</v>
      </c>
      <c r="F218" s="6" t="s">
        <v>28</v>
      </c>
      <c r="G218" s="6" t="s">
        <v>18</v>
      </c>
      <c r="H218" s="7">
        <v>45139.0</v>
      </c>
      <c r="I218" s="8">
        <v>67.0</v>
      </c>
      <c r="J218" s="8">
        <v>448.87</v>
      </c>
      <c r="K218" s="8">
        <v>216.74</v>
      </c>
      <c r="L218" s="27">
        <f t="shared" si="1"/>
        <v>30074.29</v>
      </c>
      <c r="M218" s="27">
        <f t="shared" si="2"/>
        <v>15552.71</v>
      </c>
      <c r="N218" s="27">
        <f t="shared" si="3"/>
        <v>138</v>
      </c>
    </row>
    <row r="219">
      <c r="B219" s="6" t="s">
        <v>255</v>
      </c>
      <c r="C219" s="6" t="s">
        <v>14</v>
      </c>
      <c r="D219" s="6" t="s">
        <v>31</v>
      </c>
      <c r="E219" s="6" t="s">
        <v>32</v>
      </c>
      <c r="F219" s="6" t="s">
        <v>17</v>
      </c>
      <c r="G219" s="6" t="s">
        <v>23</v>
      </c>
      <c r="H219" s="7">
        <v>45140.0</v>
      </c>
      <c r="I219" s="8">
        <v>389.0</v>
      </c>
      <c r="J219" s="8">
        <v>40.28</v>
      </c>
      <c r="K219" s="8">
        <v>291.72</v>
      </c>
      <c r="L219" s="27">
        <f t="shared" si="1"/>
        <v>15668.92</v>
      </c>
      <c r="M219" s="27">
        <f t="shared" si="2"/>
        <v>-97810.16</v>
      </c>
      <c r="N219" s="27">
        <f t="shared" si="3"/>
        <v>137</v>
      </c>
    </row>
    <row r="220">
      <c r="B220" s="6" t="s">
        <v>256</v>
      </c>
      <c r="C220" s="6" t="s">
        <v>14</v>
      </c>
      <c r="D220" s="6" t="s">
        <v>21</v>
      </c>
      <c r="E220" s="6" t="s">
        <v>55</v>
      </c>
      <c r="F220" s="6" t="s">
        <v>17</v>
      </c>
      <c r="G220" s="6" t="s">
        <v>33</v>
      </c>
      <c r="H220" s="7">
        <v>45141.0</v>
      </c>
      <c r="I220" s="8">
        <v>431.0</v>
      </c>
      <c r="J220" s="8">
        <v>477.56</v>
      </c>
      <c r="K220" s="8">
        <v>44.96</v>
      </c>
      <c r="L220" s="27">
        <f t="shared" si="1"/>
        <v>205828.36</v>
      </c>
      <c r="M220" s="27">
        <f t="shared" si="2"/>
        <v>186450.6</v>
      </c>
      <c r="N220" s="27">
        <f t="shared" si="3"/>
        <v>136</v>
      </c>
    </row>
    <row r="221">
      <c r="B221" s="6" t="s">
        <v>257</v>
      </c>
      <c r="C221" s="6" t="s">
        <v>26</v>
      </c>
      <c r="D221" s="6" t="s">
        <v>15</v>
      </c>
      <c r="E221" s="6" t="s">
        <v>55</v>
      </c>
      <c r="F221" s="6" t="s">
        <v>28</v>
      </c>
      <c r="G221" s="6" t="s">
        <v>23</v>
      </c>
      <c r="H221" s="7">
        <v>45142.0</v>
      </c>
      <c r="I221" s="8">
        <v>24.0</v>
      </c>
      <c r="J221" s="8">
        <v>329.07</v>
      </c>
      <c r="K221" s="8">
        <v>274.75</v>
      </c>
      <c r="L221" s="27">
        <f t="shared" si="1"/>
        <v>7897.68</v>
      </c>
      <c r="M221" s="27">
        <f t="shared" si="2"/>
        <v>1303.68</v>
      </c>
      <c r="N221" s="27">
        <f t="shared" si="3"/>
        <v>135</v>
      </c>
    </row>
    <row r="222">
      <c r="B222" s="6" t="s">
        <v>258</v>
      </c>
      <c r="C222" s="6" t="s">
        <v>20</v>
      </c>
      <c r="D222" s="6" t="s">
        <v>39</v>
      </c>
      <c r="E222" s="6" t="s">
        <v>27</v>
      </c>
      <c r="F222" s="6" t="s">
        <v>28</v>
      </c>
      <c r="G222" s="6" t="s">
        <v>23</v>
      </c>
      <c r="H222" s="7">
        <v>45143.0</v>
      </c>
      <c r="I222" s="8">
        <v>171.0</v>
      </c>
      <c r="J222" s="8">
        <v>193.14</v>
      </c>
      <c r="K222" s="8">
        <v>38.56</v>
      </c>
      <c r="L222" s="27">
        <f t="shared" si="1"/>
        <v>33026.94</v>
      </c>
      <c r="M222" s="27">
        <f t="shared" si="2"/>
        <v>26433.18</v>
      </c>
      <c r="N222" s="27">
        <f t="shared" si="3"/>
        <v>134</v>
      </c>
    </row>
    <row r="223">
      <c r="B223" s="6" t="s">
        <v>259</v>
      </c>
      <c r="C223" s="6" t="s">
        <v>26</v>
      </c>
      <c r="D223" s="6" t="s">
        <v>15</v>
      </c>
      <c r="E223" s="6" t="s">
        <v>16</v>
      </c>
      <c r="F223" s="6" t="s">
        <v>17</v>
      </c>
      <c r="G223" s="6" t="s">
        <v>23</v>
      </c>
      <c r="H223" s="7">
        <v>45144.0</v>
      </c>
      <c r="I223" s="8">
        <v>454.0</v>
      </c>
      <c r="J223" s="8">
        <v>102.59</v>
      </c>
      <c r="K223" s="8">
        <v>386.12</v>
      </c>
      <c r="L223" s="27">
        <f t="shared" si="1"/>
        <v>46575.86</v>
      </c>
      <c r="M223" s="27">
        <f t="shared" si="2"/>
        <v>-128722.62</v>
      </c>
      <c r="N223" s="27">
        <f t="shared" si="3"/>
        <v>133</v>
      </c>
    </row>
    <row r="224">
      <c r="B224" s="6" t="s">
        <v>260</v>
      </c>
      <c r="C224" s="6" t="s">
        <v>20</v>
      </c>
      <c r="D224" s="6" t="s">
        <v>15</v>
      </c>
      <c r="E224" s="6" t="s">
        <v>55</v>
      </c>
      <c r="F224" s="6" t="s">
        <v>28</v>
      </c>
      <c r="G224" s="6" t="s">
        <v>23</v>
      </c>
      <c r="H224" s="7">
        <v>45145.0</v>
      </c>
      <c r="I224" s="8">
        <v>172.0</v>
      </c>
      <c r="J224" s="8">
        <v>242.2</v>
      </c>
      <c r="K224" s="8">
        <v>196.38</v>
      </c>
      <c r="L224" s="27">
        <f t="shared" si="1"/>
        <v>41658.4</v>
      </c>
      <c r="M224" s="27">
        <f t="shared" si="2"/>
        <v>7881.04</v>
      </c>
      <c r="N224" s="27">
        <f t="shared" si="3"/>
        <v>132</v>
      </c>
    </row>
    <row r="225">
      <c r="B225" s="6" t="s">
        <v>261</v>
      </c>
      <c r="C225" s="6" t="s">
        <v>14</v>
      </c>
      <c r="D225" s="6" t="s">
        <v>31</v>
      </c>
      <c r="E225" s="6" t="s">
        <v>32</v>
      </c>
      <c r="F225" s="6" t="s">
        <v>17</v>
      </c>
      <c r="G225" s="6" t="s">
        <v>18</v>
      </c>
      <c r="H225" s="7">
        <v>45146.0</v>
      </c>
      <c r="I225" s="8">
        <v>329.0</v>
      </c>
      <c r="J225" s="8">
        <v>101.31</v>
      </c>
      <c r="K225" s="8">
        <v>61.97</v>
      </c>
      <c r="L225" s="27">
        <f t="shared" si="1"/>
        <v>33330.99</v>
      </c>
      <c r="M225" s="27">
        <f t="shared" si="2"/>
        <v>12942.86</v>
      </c>
      <c r="N225" s="27">
        <f t="shared" si="3"/>
        <v>131</v>
      </c>
    </row>
    <row r="226">
      <c r="B226" s="6" t="s">
        <v>262</v>
      </c>
      <c r="C226" s="6" t="s">
        <v>14</v>
      </c>
      <c r="D226" s="6" t="s">
        <v>39</v>
      </c>
      <c r="E226" s="6" t="s">
        <v>22</v>
      </c>
      <c r="F226" s="6" t="s">
        <v>17</v>
      </c>
      <c r="G226" s="6" t="s">
        <v>18</v>
      </c>
      <c r="H226" s="7">
        <v>45147.0</v>
      </c>
      <c r="I226" s="8">
        <v>290.0</v>
      </c>
      <c r="J226" s="8">
        <v>87.33</v>
      </c>
      <c r="K226" s="8">
        <v>138.27</v>
      </c>
      <c r="L226" s="27">
        <f t="shared" si="1"/>
        <v>25325.7</v>
      </c>
      <c r="M226" s="27">
        <f t="shared" si="2"/>
        <v>-14772.6</v>
      </c>
      <c r="N226" s="27">
        <f t="shared" si="3"/>
        <v>130</v>
      </c>
    </row>
    <row r="227">
      <c r="B227" s="6" t="s">
        <v>263</v>
      </c>
      <c r="C227" s="6"/>
      <c r="D227" s="6" t="s">
        <v>15</v>
      </c>
      <c r="E227" s="6" t="s">
        <v>55</v>
      </c>
      <c r="F227" s="6" t="s">
        <v>17</v>
      </c>
      <c r="G227" s="6" t="s">
        <v>33</v>
      </c>
      <c r="H227" s="7">
        <v>45148.0</v>
      </c>
      <c r="I227" s="8">
        <v>289.0</v>
      </c>
      <c r="J227" s="8">
        <v>310.59</v>
      </c>
      <c r="K227" s="8">
        <v>166.54</v>
      </c>
      <c r="L227" s="27">
        <f t="shared" si="1"/>
        <v>89760.51</v>
      </c>
      <c r="M227" s="27">
        <f t="shared" si="2"/>
        <v>41630.45</v>
      </c>
      <c r="N227" s="27">
        <f t="shared" si="3"/>
        <v>129</v>
      </c>
    </row>
    <row r="228">
      <c r="B228" s="6" t="s">
        <v>264</v>
      </c>
      <c r="C228" s="6" t="s">
        <v>61</v>
      </c>
      <c r="D228" s="6" t="s">
        <v>21</v>
      </c>
      <c r="E228" s="6" t="s">
        <v>55</v>
      </c>
      <c r="F228" s="6" t="s">
        <v>17</v>
      </c>
      <c r="G228" s="6" t="s">
        <v>18</v>
      </c>
      <c r="H228" s="7">
        <v>45149.0</v>
      </c>
      <c r="I228" s="8">
        <v>21.0</v>
      </c>
      <c r="J228" s="8">
        <v>263.93</v>
      </c>
      <c r="K228" s="8">
        <v>303.76</v>
      </c>
      <c r="L228" s="27">
        <f t="shared" si="1"/>
        <v>5542.53</v>
      </c>
      <c r="M228" s="27">
        <f t="shared" si="2"/>
        <v>-836.43</v>
      </c>
      <c r="N228" s="27">
        <f t="shared" si="3"/>
        <v>128</v>
      </c>
    </row>
    <row r="229">
      <c r="B229" s="6" t="s">
        <v>265</v>
      </c>
      <c r="C229" s="6" t="s">
        <v>20</v>
      </c>
      <c r="D229" s="6" t="s">
        <v>21</v>
      </c>
      <c r="E229" s="6" t="s">
        <v>27</v>
      </c>
      <c r="F229" s="6" t="s">
        <v>17</v>
      </c>
      <c r="G229" s="6" t="s">
        <v>18</v>
      </c>
      <c r="H229" s="7">
        <v>45150.0</v>
      </c>
      <c r="I229" s="8">
        <v>283.0</v>
      </c>
      <c r="J229" s="8">
        <v>336.7</v>
      </c>
      <c r="K229" s="8">
        <v>297.88</v>
      </c>
      <c r="L229" s="27">
        <f t="shared" si="1"/>
        <v>95286.1</v>
      </c>
      <c r="M229" s="27">
        <f t="shared" si="2"/>
        <v>10986.06</v>
      </c>
      <c r="N229" s="27">
        <f t="shared" si="3"/>
        <v>127</v>
      </c>
    </row>
    <row r="230">
      <c r="B230" s="6" t="s">
        <v>266</v>
      </c>
      <c r="C230" s="6" t="s">
        <v>61</v>
      </c>
      <c r="D230" s="6" t="s">
        <v>63</v>
      </c>
      <c r="E230" s="6" t="s">
        <v>16</v>
      </c>
      <c r="F230" s="6" t="s">
        <v>28</v>
      </c>
      <c r="G230" s="6" t="s">
        <v>33</v>
      </c>
      <c r="H230" s="7">
        <v>45151.0</v>
      </c>
      <c r="I230" s="8">
        <v>280.0</v>
      </c>
      <c r="J230" s="8">
        <v>465.15</v>
      </c>
      <c r="K230" s="8">
        <v>245.55</v>
      </c>
      <c r="L230" s="27">
        <f t="shared" si="1"/>
        <v>130242</v>
      </c>
      <c r="M230" s="27">
        <f t="shared" si="2"/>
        <v>61488</v>
      </c>
      <c r="N230" s="27">
        <f t="shared" si="3"/>
        <v>126</v>
      </c>
    </row>
    <row r="231">
      <c r="B231" s="6" t="s">
        <v>267</v>
      </c>
      <c r="C231" s="6" t="s">
        <v>61</v>
      </c>
      <c r="D231" s="6" t="s">
        <v>39</v>
      </c>
      <c r="E231" s="6" t="s">
        <v>22</v>
      </c>
      <c r="F231" s="6" t="s">
        <v>28</v>
      </c>
      <c r="G231" s="6" t="s">
        <v>18</v>
      </c>
      <c r="H231" s="7">
        <v>45152.0</v>
      </c>
      <c r="I231" s="8">
        <v>217.0</v>
      </c>
      <c r="J231" s="8">
        <v>268.47</v>
      </c>
      <c r="K231" s="8">
        <v>44.16</v>
      </c>
      <c r="L231" s="27">
        <f t="shared" si="1"/>
        <v>58257.99</v>
      </c>
      <c r="M231" s="27">
        <f t="shared" si="2"/>
        <v>48675.27</v>
      </c>
      <c r="N231" s="27">
        <f t="shared" si="3"/>
        <v>125</v>
      </c>
    </row>
    <row r="232">
      <c r="B232" s="6" t="s">
        <v>268</v>
      </c>
      <c r="C232" s="6" t="s">
        <v>26</v>
      </c>
      <c r="D232" s="6" t="s">
        <v>39</v>
      </c>
      <c r="E232" s="6" t="s">
        <v>32</v>
      </c>
      <c r="F232" s="6" t="s">
        <v>28</v>
      </c>
      <c r="G232" s="6" t="s">
        <v>18</v>
      </c>
      <c r="H232" s="7">
        <v>45153.0</v>
      </c>
      <c r="I232" s="8">
        <v>36.0</v>
      </c>
      <c r="J232" s="8">
        <v>292.56</v>
      </c>
      <c r="K232" s="8">
        <v>62.32</v>
      </c>
      <c r="L232" s="27">
        <f t="shared" si="1"/>
        <v>10532.16</v>
      </c>
      <c r="M232" s="27">
        <f t="shared" si="2"/>
        <v>8288.64</v>
      </c>
      <c r="N232" s="27">
        <f t="shared" si="3"/>
        <v>124</v>
      </c>
    </row>
    <row r="233">
      <c r="B233" s="6" t="s">
        <v>269</v>
      </c>
      <c r="C233" s="6" t="s">
        <v>61</v>
      </c>
      <c r="D233" s="6" t="s">
        <v>63</v>
      </c>
      <c r="E233" s="6" t="s">
        <v>22</v>
      </c>
      <c r="F233" s="6" t="s">
        <v>28</v>
      </c>
      <c r="G233" s="6" t="s">
        <v>33</v>
      </c>
      <c r="H233" s="7">
        <v>45154.0</v>
      </c>
      <c r="I233" s="6"/>
      <c r="J233" s="8">
        <v>49.37</v>
      </c>
      <c r="K233" s="8">
        <v>39.32</v>
      </c>
      <c r="L233" s="27" t="str">
        <f t="shared" si="1"/>
        <v/>
      </c>
      <c r="M233" s="27" t="str">
        <f t="shared" si="2"/>
        <v/>
      </c>
      <c r="N233" s="27">
        <f t="shared" si="3"/>
        <v>123</v>
      </c>
    </row>
    <row r="234">
      <c r="B234" s="6" t="s">
        <v>270</v>
      </c>
      <c r="C234" s="6" t="s">
        <v>26</v>
      </c>
      <c r="D234" s="6" t="s">
        <v>15</v>
      </c>
      <c r="E234" s="6" t="s">
        <v>32</v>
      </c>
      <c r="F234" s="6" t="s">
        <v>17</v>
      </c>
      <c r="G234" s="6" t="s">
        <v>33</v>
      </c>
      <c r="H234" s="7">
        <v>45155.0</v>
      </c>
      <c r="I234" s="8">
        <v>69.0</v>
      </c>
      <c r="J234" s="8">
        <v>360.23</v>
      </c>
      <c r="K234" s="8">
        <v>231.71</v>
      </c>
      <c r="L234" s="27">
        <f t="shared" si="1"/>
        <v>24855.87</v>
      </c>
      <c r="M234" s="27">
        <f t="shared" si="2"/>
        <v>8867.88</v>
      </c>
      <c r="N234" s="27">
        <f t="shared" si="3"/>
        <v>122</v>
      </c>
    </row>
    <row r="235">
      <c r="B235" s="6" t="s">
        <v>271</v>
      </c>
      <c r="C235" s="6" t="s">
        <v>26</v>
      </c>
      <c r="D235" s="6" t="s">
        <v>39</v>
      </c>
      <c r="E235" s="6" t="s">
        <v>16</v>
      </c>
      <c r="F235" s="6" t="s">
        <v>17</v>
      </c>
      <c r="G235" s="6" t="s">
        <v>33</v>
      </c>
      <c r="H235" s="7">
        <v>45156.0</v>
      </c>
      <c r="I235" s="8">
        <v>439.0</v>
      </c>
      <c r="J235" s="8">
        <v>202.95</v>
      </c>
      <c r="K235" s="8">
        <v>351.1</v>
      </c>
      <c r="L235" s="27">
        <f t="shared" si="1"/>
        <v>89095.05</v>
      </c>
      <c r="M235" s="27">
        <f t="shared" si="2"/>
        <v>-65037.85</v>
      </c>
      <c r="N235" s="27">
        <f t="shared" si="3"/>
        <v>121</v>
      </c>
    </row>
    <row r="236">
      <c r="B236" s="6" t="s">
        <v>272</v>
      </c>
      <c r="C236" s="6" t="s">
        <v>61</v>
      </c>
      <c r="D236" s="6" t="s">
        <v>21</v>
      </c>
      <c r="E236" s="6" t="s">
        <v>32</v>
      </c>
      <c r="F236" s="6" t="s">
        <v>17</v>
      </c>
      <c r="G236" s="6" t="s">
        <v>23</v>
      </c>
      <c r="H236" s="7">
        <v>45157.0</v>
      </c>
      <c r="I236" s="8">
        <v>482.0</v>
      </c>
      <c r="J236" s="8">
        <v>488.48</v>
      </c>
      <c r="K236" s="8">
        <v>174.65</v>
      </c>
      <c r="L236" s="27">
        <f t="shared" si="1"/>
        <v>235447.36</v>
      </c>
      <c r="M236" s="27">
        <f t="shared" si="2"/>
        <v>151266.06</v>
      </c>
      <c r="N236" s="27">
        <f t="shared" si="3"/>
        <v>120</v>
      </c>
    </row>
    <row r="237">
      <c r="B237" s="6" t="s">
        <v>273</v>
      </c>
      <c r="C237" s="6" t="s">
        <v>20</v>
      </c>
      <c r="D237" s="6" t="s">
        <v>21</v>
      </c>
      <c r="E237" s="6" t="s">
        <v>27</v>
      </c>
      <c r="F237" s="6" t="s">
        <v>17</v>
      </c>
      <c r="G237" s="6" t="s">
        <v>23</v>
      </c>
      <c r="H237" s="7">
        <v>45158.0</v>
      </c>
      <c r="I237" s="8">
        <v>154.0</v>
      </c>
      <c r="J237" s="8">
        <v>412.47</v>
      </c>
      <c r="K237" s="8">
        <v>66.02</v>
      </c>
      <c r="L237" s="27">
        <f t="shared" si="1"/>
        <v>63520.38</v>
      </c>
      <c r="M237" s="27">
        <f t="shared" si="2"/>
        <v>53353.3</v>
      </c>
      <c r="N237" s="27">
        <f t="shared" si="3"/>
        <v>119</v>
      </c>
    </row>
    <row r="238">
      <c r="B238" s="6" t="s">
        <v>274</v>
      </c>
      <c r="C238" s="6" t="s">
        <v>20</v>
      </c>
      <c r="D238" s="6" t="s">
        <v>31</v>
      </c>
      <c r="E238" s="6" t="s">
        <v>27</v>
      </c>
      <c r="F238" s="6" t="s">
        <v>28</v>
      </c>
      <c r="G238" s="6" t="s">
        <v>33</v>
      </c>
      <c r="H238" s="7">
        <v>45159.0</v>
      </c>
      <c r="I238" s="8">
        <v>102.0</v>
      </c>
      <c r="J238" s="8">
        <v>263.63</v>
      </c>
      <c r="K238" s="8">
        <v>224.1</v>
      </c>
      <c r="L238" s="27">
        <f t="shared" si="1"/>
        <v>26890.26</v>
      </c>
      <c r="M238" s="27">
        <f t="shared" si="2"/>
        <v>4032.06</v>
      </c>
      <c r="N238" s="27">
        <f t="shared" si="3"/>
        <v>118</v>
      </c>
    </row>
    <row r="239">
      <c r="B239" s="6" t="s">
        <v>275</v>
      </c>
      <c r="C239" s="6" t="s">
        <v>20</v>
      </c>
      <c r="D239" s="6" t="s">
        <v>39</v>
      </c>
      <c r="E239" s="6" t="s">
        <v>27</v>
      </c>
      <c r="F239" s="6" t="s">
        <v>17</v>
      </c>
      <c r="G239" s="6" t="s">
        <v>33</v>
      </c>
      <c r="H239" s="7">
        <v>45160.0</v>
      </c>
      <c r="I239" s="8">
        <v>318.0</v>
      </c>
      <c r="J239" s="8">
        <v>66.0</v>
      </c>
      <c r="K239" s="8">
        <v>325.08</v>
      </c>
      <c r="L239" s="27">
        <f t="shared" si="1"/>
        <v>20988</v>
      </c>
      <c r="M239" s="27">
        <f t="shared" si="2"/>
        <v>-82387.44</v>
      </c>
      <c r="N239" s="27">
        <f t="shared" si="3"/>
        <v>117</v>
      </c>
    </row>
    <row r="240">
      <c r="B240" s="6" t="s">
        <v>276</v>
      </c>
      <c r="C240" s="6" t="s">
        <v>20</v>
      </c>
      <c r="D240" s="6" t="s">
        <v>15</v>
      </c>
      <c r="E240" s="6" t="s">
        <v>27</v>
      </c>
      <c r="F240" s="6" t="s">
        <v>17</v>
      </c>
      <c r="G240" s="6" t="s">
        <v>33</v>
      </c>
      <c r="H240" s="7">
        <v>45161.0</v>
      </c>
      <c r="I240" s="8">
        <v>17.0</v>
      </c>
      <c r="J240" s="8">
        <v>430.41</v>
      </c>
      <c r="K240" s="8">
        <v>297.2</v>
      </c>
      <c r="L240" s="27">
        <f t="shared" si="1"/>
        <v>7316.97</v>
      </c>
      <c r="M240" s="27">
        <f t="shared" si="2"/>
        <v>2264.57</v>
      </c>
      <c r="N240" s="27">
        <f t="shared" si="3"/>
        <v>116</v>
      </c>
    </row>
    <row r="241">
      <c r="B241" s="6" t="s">
        <v>277</v>
      </c>
      <c r="C241" s="6" t="s">
        <v>20</v>
      </c>
      <c r="D241" s="6" t="s">
        <v>63</v>
      </c>
      <c r="E241" s="6" t="s">
        <v>22</v>
      </c>
      <c r="F241" s="6" t="s">
        <v>28</v>
      </c>
      <c r="G241" s="6" t="s">
        <v>23</v>
      </c>
      <c r="H241" s="7">
        <v>45162.0</v>
      </c>
      <c r="I241" s="8">
        <v>88.0</v>
      </c>
      <c r="J241" s="8">
        <v>400.89</v>
      </c>
      <c r="K241" s="8">
        <v>352.82</v>
      </c>
      <c r="L241" s="27">
        <f t="shared" si="1"/>
        <v>35278.32</v>
      </c>
      <c r="M241" s="27">
        <f t="shared" si="2"/>
        <v>4230.16</v>
      </c>
      <c r="N241" s="27">
        <f t="shared" si="3"/>
        <v>115</v>
      </c>
    </row>
    <row r="242">
      <c r="B242" s="6" t="s">
        <v>278</v>
      </c>
      <c r="C242" s="6" t="s">
        <v>61</v>
      </c>
      <c r="D242" s="6" t="s">
        <v>63</v>
      </c>
      <c r="E242" s="6" t="s">
        <v>16</v>
      </c>
      <c r="F242" s="6" t="s">
        <v>28</v>
      </c>
      <c r="G242" s="6" t="s">
        <v>23</v>
      </c>
      <c r="H242" s="7">
        <v>45163.0</v>
      </c>
      <c r="I242" s="8">
        <v>36.0</v>
      </c>
      <c r="J242" s="8">
        <v>96.37</v>
      </c>
      <c r="K242" s="8">
        <v>112.61</v>
      </c>
      <c r="L242" s="27">
        <f t="shared" si="1"/>
        <v>3469.32</v>
      </c>
      <c r="M242" s="27">
        <f t="shared" si="2"/>
        <v>-584.64</v>
      </c>
      <c r="N242" s="27">
        <f t="shared" si="3"/>
        <v>114</v>
      </c>
    </row>
    <row r="243">
      <c r="B243" s="6" t="s">
        <v>279</v>
      </c>
      <c r="C243" s="6" t="s">
        <v>61</v>
      </c>
      <c r="D243" s="6" t="s">
        <v>15</v>
      </c>
      <c r="E243" s="6" t="s">
        <v>32</v>
      </c>
      <c r="F243" s="6" t="s">
        <v>28</v>
      </c>
      <c r="G243" s="6" t="s">
        <v>18</v>
      </c>
      <c r="H243" s="7">
        <v>45164.0</v>
      </c>
      <c r="I243" s="8">
        <v>183.0</v>
      </c>
      <c r="J243" s="8">
        <v>151.16</v>
      </c>
      <c r="K243" s="8">
        <v>79.19</v>
      </c>
      <c r="L243" s="27">
        <f t="shared" si="1"/>
        <v>27662.28</v>
      </c>
      <c r="M243" s="27">
        <f t="shared" si="2"/>
        <v>13170.51</v>
      </c>
      <c r="N243" s="27">
        <f t="shared" si="3"/>
        <v>113</v>
      </c>
    </row>
    <row r="244">
      <c r="B244" s="6" t="s">
        <v>280</v>
      </c>
      <c r="C244" s="6" t="s">
        <v>14</v>
      </c>
      <c r="D244" s="6" t="s">
        <v>31</v>
      </c>
      <c r="E244" s="6" t="s">
        <v>32</v>
      </c>
      <c r="F244" s="6" t="s">
        <v>28</v>
      </c>
      <c r="G244" s="6" t="s">
        <v>18</v>
      </c>
      <c r="H244" s="7">
        <v>45165.0</v>
      </c>
      <c r="I244" s="8">
        <v>59.0</v>
      </c>
      <c r="J244" s="8">
        <v>397.74</v>
      </c>
      <c r="K244" s="8">
        <v>352.17</v>
      </c>
      <c r="L244" s="27">
        <f t="shared" si="1"/>
        <v>23466.66</v>
      </c>
      <c r="M244" s="27">
        <f t="shared" si="2"/>
        <v>2688.63</v>
      </c>
      <c r="N244" s="27">
        <f t="shared" si="3"/>
        <v>112</v>
      </c>
    </row>
    <row r="245">
      <c r="B245" s="6" t="s">
        <v>281</v>
      </c>
      <c r="C245" s="6" t="s">
        <v>20</v>
      </c>
      <c r="D245" s="6" t="s">
        <v>63</v>
      </c>
      <c r="E245" s="6" t="s">
        <v>27</v>
      </c>
      <c r="F245" s="6" t="s">
        <v>17</v>
      </c>
      <c r="G245" s="6" t="s">
        <v>33</v>
      </c>
      <c r="H245" s="7">
        <v>45166.0</v>
      </c>
      <c r="I245" s="8">
        <v>208.0</v>
      </c>
      <c r="J245" s="8">
        <v>96.69</v>
      </c>
      <c r="K245" s="8">
        <v>263.71</v>
      </c>
      <c r="L245" s="27">
        <f t="shared" si="1"/>
        <v>20111.52</v>
      </c>
      <c r="M245" s="27">
        <f t="shared" si="2"/>
        <v>-34740.16</v>
      </c>
      <c r="N245" s="27">
        <f t="shared" si="3"/>
        <v>111</v>
      </c>
    </row>
    <row r="246">
      <c r="B246" s="6" t="s">
        <v>282</v>
      </c>
      <c r="C246" s="6" t="s">
        <v>61</v>
      </c>
      <c r="D246" s="6" t="s">
        <v>39</v>
      </c>
      <c r="E246" s="6" t="s">
        <v>27</v>
      </c>
      <c r="F246" s="6" t="s">
        <v>17</v>
      </c>
      <c r="G246" s="6" t="s">
        <v>23</v>
      </c>
      <c r="H246" s="7">
        <v>45167.0</v>
      </c>
      <c r="I246" s="8">
        <v>396.0</v>
      </c>
      <c r="J246" s="8">
        <v>459.29</v>
      </c>
      <c r="K246" s="8">
        <v>125.75</v>
      </c>
      <c r="L246" s="27">
        <f t="shared" si="1"/>
        <v>181878.84</v>
      </c>
      <c r="M246" s="27">
        <f t="shared" si="2"/>
        <v>132081.84</v>
      </c>
      <c r="N246" s="27">
        <f t="shared" si="3"/>
        <v>110</v>
      </c>
    </row>
    <row r="247">
      <c r="B247" s="6" t="s">
        <v>283</v>
      </c>
      <c r="C247" s="6" t="s">
        <v>14</v>
      </c>
      <c r="D247" s="6" t="s">
        <v>31</v>
      </c>
      <c r="E247" s="6" t="s">
        <v>55</v>
      </c>
      <c r="F247" s="6" t="s">
        <v>28</v>
      </c>
      <c r="G247" s="6" t="s">
        <v>23</v>
      </c>
      <c r="H247" s="7">
        <v>45168.0</v>
      </c>
      <c r="I247" s="8">
        <v>358.0</v>
      </c>
      <c r="J247" s="8">
        <v>215.14</v>
      </c>
      <c r="K247" s="8">
        <v>297.45</v>
      </c>
      <c r="L247" s="27">
        <f t="shared" si="1"/>
        <v>77020.12</v>
      </c>
      <c r="M247" s="27">
        <f t="shared" si="2"/>
        <v>-29466.98</v>
      </c>
      <c r="N247" s="27">
        <f t="shared" si="3"/>
        <v>109</v>
      </c>
    </row>
    <row r="248">
      <c r="B248" s="6" t="s">
        <v>284</v>
      </c>
      <c r="C248" s="6" t="s">
        <v>20</v>
      </c>
      <c r="D248" s="6" t="s">
        <v>39</v>
      </c>
      <c r="E248" s="6" t="s">
        <v>16</v>
      </c>
      <c r="F248" s="6" t="s">
        <v>17</v>
      </c>
      <c r="G248" s="6" t="s">
        <v>23</v>
      </c>
      <c r="H248" s="7">
        <v>45169.0</v>
      </c>
      <c r="I248" s="8">
        <v>457.0</v>
      </c>
      <c r="J248" s="8">
        <v>48.08</v>
      </c>
      <c r="K248" s="8">
        <v>326.42</v>
      </c>
      <c r="L248" s="27">
        <f t="shared" si="1"/>
        <v>21972.56</v>
      </c>
      <c r="M248" s="27">
        <f t="shared" si="2"/>
        <v>-127201.38</v>
      </c>
      <c r="N248" s="27">
        <f t="shared" si="3"/>
        <v>108</v>
      </c>
    </row>
    <row r="249">
      <c r="B249" s="6" t="s">
        <v>285</v>
      </c>
      <c r="C249" s="6" t="s">
        <v>26</v>
      </c>
      <c r="D249" s="6" t="s">
        <v>21</v>
      </c>
      <c r="E249" s="6" t="s">
        <v>22</v>
      </c>
      <c r="F249" s="6" t="s">
        <v>17</v>
      </c>
      <c r="G249" s="6" t="s">
        <v>33</v>
      </c>
      <c r="H249" s="7">
        <v>45170.0</v>
      </c>
      <c r="I249" s="8">
        <v>437.0</v>
      </c>
      <c r="J249" s="8">
        <v>408.8</v>
      </c>
      <c r="K249" s="8">
        <v>246.76</v>
      </c>
      <c r="L249" s="27">
        <f t="shared" si="1"/>
        <v>178645.6</v>
      </c>
      <c r="M249" s="27">
        <f t="shared" si="2"/>
        <v>70811.48</v>
      </c>
      <c r="N249" s="27">
        <f t="shared" si="3"/>
        <v>107</v>
      </c>
    </row>
    <row r="250">
      <c r="B250" s="6" t="s">
        <v>286</v>
      </c>
      <c r="C250" s="6" t="s">
        <v>14</v>
      </c>
      <c r="D250" s="6" t="s">
        <v>31</v>
      </c>
      <c r="E250" s="6" t="s">
        <v>32</v>
      </c>
      <c r="F250" s="6" t="s">
        <v>17</v>
      </c>
      <c r="G250" s="6" t="s">
        <v>18</v>
      </c>
      <c r="H250" s="7">
        <v>45171.0</v>
      </c>
      <c r="I250" s="8">
        <v>190.0</v>
      </c>
      <c r="J250" s="8">
        <v>189.89</v>
      </c>
      <c r="K250" s="8">
        <v>275.78</v>
      </c>
      <c r="L250" s="27">
        <f t="shared" si="1"/>
        <v>36079.1</v>
      </c>
      <c r="M250" s="27">
        <f t="shared" si="2"/>
        <v>-16319.1</v>
      </c>
      <c r="N250" s="27">
        <f t="shared" si="3"/>
        <v>106</v>
      </c>
    </row>
    <row r="251">
      <c r="B251" s="6" t="s">
        <v>287</v>
      </c>
      <c r="C251" s="6" t="s">
        <v>61</v>
      </c>
      <c r="D251" s="6" t="s">
        <v>63</v>
      </c>
      <c r="E251" s="6" t="s">
        <v>55</v>
      </c>
      <c r="F251" s="6" t="s">
        <v>28</v>
      </c>
      <c r="G251" s="6" t="s">
        <v>33</v>
      </c>
      <c r="H251" s="7">
        <v>45172.0</v>
      </c>
      <c r="I251" s="8">
        <v>33.0</v>
      </c>
      <c r="J251" s="8">
        <v>265.62</v>
      </c>
      <c r="K251" s="8">
        <v>151.35</v>
      </c>
      <c r="L251" s="27">
        <f t="shared" si="1"/>
        <v>8765.46</v>
      </c>
      <c r="M251" s="27">
        <f t="shared" si="2"/>
        <v>3770.91</v>
      </c>
      <c r="N251" s="27">
        <f t="shared" si="3"/>
        <v>105</v>
      </c>
    </row>
    <row r="252">
      <c r="B252" s="6" t="s">
        <v>288</v>
      </c>
      <c r="C252" s="6" t="s">
        <v>26</v>
      </c>
      <c r="D252" s="6" t="s">
        <v>31</v>
      </c>
      <c r="E252" s="6" t="s">
        <v>55</v>
      </c>
      <c r="F252" s="6" t="s">
        <v>17</v>
      </c>
      <c r="G252" s="6" t="s">
        <v>18</v>
      </c>
      <c r="H252" s="7">
        <v>45173.0</v>
      </c>
      <c r="I252" s="8">
        <v>325.0</v>
      </c>
      <c r="J252" s="8">
        <v>60.59</v>
      </c>
      <c r="K252" s="8">
        <v>216.4</v>
      </c>
      <c r="L252" s="27">
        <f t="shared" si="1"/>
        <v>19691.75</v>
      </c>
      <c r="M252" s="27">
        <f t="shared" si="2"/>
        <v>-50638.25</v>
      </c>
      <c r="N252" s="27">
        <f t="shared" si="3"/>
        <v>104</v>
      </c>
    </row>
    <row r="253">
      <c r="B253" s="6" t="s">
        <v>289</v>
      </c>
      <c r="C253" s="6" t="s">
        <v>26</v>
      </c>
      <c r="D253" s="6" t="s">
        <v>31</v>
      </c>
      <c r="E253" s="6" t="s">
        <v>32</v>
      </c>
      <c r="F253" s="6" t="s">
        <v>28</v>
      </c>
      <c r="G253" s="6" t="s">
        <v>18</v>
      </c>
      <c r="H253" s="7">
        <v>45174.0</v>
      </c>
      <c r="I253" s="8">
        <v>387.0</v>
      </c>
      <c r="J253" s="8">
        <v>6.28</v>
      </c>
      <c r="K253" s="8">
        <v>210.62</v>
      </c>
      <c r="L253" s="27">
        <f t="shared" si="1"/>
        <v>2430.36</v>
      </c>
      <c r="M253" s="27">
        <f t="shared" si="2"/>
        <v>-79079.58</v>
      </c>
      <c r="N253" s="27">
        <f t="shared" si="3"/>
        <v>103</v>
      </c>
    </row>
    <row r="254">
      <c r="B254" s="6" t="s">
        <v>290</v>
      </c>
      <c r="C254" s="6" t="s">
        <v>26</v>
      </c>
      <c r="D254" s="6" t="s">
        <v>31</v>
      </c>
      <c r="E254" s="6" t="s">
        <v>22</v>
      </c>
      <c r="F254" s="6" t="s">
        <v>17</v>
      </c>
      <c r="G254" s="6" t="s">
        <v>33</v>
      </c>
      <c r="H254" s="7">
        <v>45175.0</v>
      </c>
      <c r="I254" s="8">
        <v>396.0</v>
      </c>
      <c r="J254" s="8">
        <v>320.8</v>
      </c>
      <c r="K254" s="8">
        <v>339.52</v>
      </c>
      <c r="L254" s="27">
        <f t="shared" si="1"/>
        <v>127036.8</v>
      </c>
      <c r="M254" s="27">
        <f t="shared" si="2"/>
        <v>-7413.12</v>
      </c>
      <c r="N254" s="27">
        <f t="shared" si="3"/>
        <v>102</v>
      </c>
    </row>
    <row r="255">
      <c r="B255" s="6" t="s">
        <v>291</v>
      </c>
      <c r="C255" s="6" t="s">
        <v>14</v>
      </c>
      <c r="D255" s="6" t="s">
        <v>31</v>
      </c>
      <c r="E255" s="6" t="s">
        <v>55</v>
      </c>
      <c r="F255" s="6" t="s">
        <v>17</v>
      </c>
      <c r="G255" s="6" t="s">
        <v>18</v>
      </c>
      <c r="H255" s="7">
        <v>45176.0</v>
      </c>
      <c r="I255" s="8">
        <v>413.0</v>
      </c>
      <c r="J255" s="8">
        <v>260.01</v>
      </c>
      <c r="K255" s="8">
        <v>336.31</v>
      </c>
      <c r="L255" s="27">
        <f t="shared" si="1"/>
        <v>107384.13</v>
      </c>
      <c r="M255" s="27">
        <f t="shared" si="2"/>
        <v>-31511.9</v>
      </c>
      <c r="N255" s="27">
        <f t="shared" si="3"/>
        <v>101</v>
      </c>
    </row>
    <row r="256">
      <c r="B256" s="6" t="s">
        <v>292</v>
      </c>
      <c r="C256" s="6" t="s">
        <v>61</v>
      </c>
      <c r="D256" s="6" t="s">
        <v>39</v>
      </c>
      <c r="E256" s="6" t="s">
        <v>55</v>
      </c>
      <c r="F256" s="6" t="s">
        <v>17</v>
      </c>
      <c r="G256" s="6" t="s">
        <v>18</v>
      </c>
      <c r="H256" s="7">
        <v>45177.0</v>
      </c>
      <c r="I256" s="6"/>
      <c r="J256" s="8">
        <v>298.8</v>
      </c>
      <c r="K256" s="8">
        <v>333.41</v>
      </c>
      <c r="L256" s="27" t="str">
        <f t="shared" si="1"/>
        <v/>
      </c>
      <c r="M256" s="27" t="str">
        <f t="shared" si="2"/>
        <v/>
      </c>
      <c r="N256" s="27">
        <f t="shared" si="3"/>
        <v>100</v>
      </c>
    </row>
    <row r="257">
      <c r="B257" s="6" t="s">
        <v>293</v>
      </c>
      <c r="C257" s="6" t="s">
        <v>26</v>
      </c>
      <c r="D257" s="6" t="s">
        <v>21</v>
      </c>
      <c r="E257" s="6" t="s">
        <v>16</v>
      </c>
      <c r="F257" s="6" t="s">
        <v>28</v>
      </c>
      <c r="G257" s="6" t="s">
        <v>23</v>
      </c>
      <c r="H257" s="7">
        <v>45178.0</v>
      </c>
      <c r="I257" s="8">
        <v>24.0</v>
      </c>
      <c r="J257" s="8">
        <v>397.9</v>
      </c>
      <c r="K257" s="8">
        <v>6.39</v>
      </c>
      <c r="L257" s="27">
        <f t="shared" si="1"/>
        <v>9549.6</v>
      </c>
      <c r="M257" s="27">
        <f t="shared" si="2"/>
        <v>9396.24</v>
      </c>
      <c r="N257" s="27">
        <f t="shared" si="3"/>
        <v>99</v>
      </c>
    </row>
    <row r="258">
      <c r="B258" s="6" t="s">
        <v>294</v>
      </c>
      <c r="C258" s="6" t="s">
        <v>20</v>
      </c>
      <c r="D258" s="6" t="s">
        <v>15</v>
      </c>
      <c r="E258" s="6"/>
      <c r="F258" s="6" t="s">
        <v>17</v>
      </c>
      <c r="G258" s="6" t="s">
        <v>18</v>
      </c>
      <c r="H258" s="7">
        <v>45179.0</v>
      </c>
      <c r="I258" s="8">
        <v>162.0</v>
      </c>
      <c r="J258" s="8">
        <v>325.07</v>
      </c>
      <c r="K258" s="8">
        <v>300.32</v>
      </c>
      <c r="L258" s="27">
        <f t="shared" si="1"/>
        <v>52661.34</v>
      </c>
      <c r="M258" s="27">
        <f t="shared" si="2"/>
        <v>4009.5</v>
      </c>
      <c r="N258" s="27">
        <f t="shared" si="3"/>
        <v>98</v>
      </c>
    </row>
    <row r="259">
      <c r="B259" s="6" t="s">
        <v>295</v>
      </c>
      <c r="C259" s="6" t="s">
        <v>26</v>
      </c>
      <c r="D259" s="6" t="s">
        <v>31</v>
      </c>
      <c r="E259" s="6" t="s">
        <v>55</v>
      </c>
      <c r="F259" s="6" t="s">
        <v>28</v>
      </c>
      <c r="G259" s="6" t="s">
        <v>33</v>
      </c>
      <c r="H259" s="7">
        <v>45180.0</v>
      </c>
      <c r="I259" s="8">
        <v>231.0</v>
      </c>
      <c r="J259" s="8">
        <v>91.51</v>
      </c>
      <c r="K259" s="8">
        <v>303.95</v>
      </c>
      <c r="L259" s="27">
        <f t="shared" si="1"/>
        <v>21138.81</v>
      </c>
      <c r="M259" s="27">
        <f t="shared" si="2"/>
        <v>-49073.64</v>
      </c>
      <c r="N259" s="27">
        <f t="shared" si="3"/>
        <v>97</v>
      </c>
    </row>
    <row r="260">
      <c r="B260" s="6" t="s">
        <v>296</v>
      </c>
      <c r="C260" s="6" t="s">
        <v>26</v>
      </c>
      <c r="D260" s="6" t="s">
        <v>63</v>
      </c>
      <c r="E260" s="6" t="s">
        <v>22</v>
      </c>
      <c r="F260" s="6" t="s">
        <v>28</v>
      </c>
      <c r="G260" s="6" t="s">
        <v>33</v>
      </c>
      <c r="H260" s="7">
        <v>45181.0</v>
      </c>
      <c r="I260" s="8">
        <v>215.0</v>
      </c>
      <c r="J260" s="8">
        <v>183.58</v>
      </c>
      <c r="K260" s="8">
        <v>271.99</v>
      </c>
      <c r="L260" s="27">
        <f t="shared" si="1"/>
        <v>39469.7</v>
      </c>
      <c r="M260" s="27">
        <f t="shared" si="2"/>
        <v>-19008.15</v>
      </c>
      <c r="N260" s="27">
        <f t="shared" si="3"/>
        <v>96</v>
      </c>
    </row>
    <row r="261">
      <c r="B261" s="6" t="s">
        <v>297</v>
      </c>
      <c r="C261" s="6" t="s">
        <v>14</v>
      </c>
      <c r="D261" s="6" t="s">
        <v>31</v>
      </c>
      <c r="E261" s="6" t="s">
        <v>32</v>
      </c>
      <c r="F261" s="6" t="s">
        <v>28</v>
      </c>
      <c r="G261" s="6" t="s">
        <v>18</v>
      </c>
      <c r="H261" s="7">
        <v>45182.0</v>
      </c>
      <c r="I261" s="8">
        <v>464.0</v>
      </c>
      <c r="J261" s="8">
        <v>453.42</v>
      </c>
      <c r="K261" s="8">
        <v>302.99</v>
      </c>
      <c r="L261" s="27">
        <f t="shared" si="1"/>
        <v>210386.88</v>
      </c>
      <c r="M261" s="27">
        <f t="shared" si="2"/>
        <v>69799.52</v>
      </c>
      <c r="N261" s="27">
        <f t="shared" si="3"/>
        <v>95</v>
      </c>
    </row>
    <row r="262">
      <c r="B262" s="6" t="s">
        <v>298</v>
      </c>
      <c r="C262" s="6" t="s">
        <v>14</v>
      </c>
      <c r="D262" s="6" t="s">
        <v>63</v>
      </c>
      <c r="E262" s="6" t="s">
        <v>27</v>
      </c>
      <c r="F262" s="6" t="s">
        <v>17</v>
      </c>
      <c r="G262" s="6" t="s">
        <v>23</v>
      </c>
      <c r="H262" s="7">
        <v>45183.0</v>
      </c>
      <c r="I262" s="8">
        <v>282.0</v>
      </c>
      <c r="J262" s="6"/>
      <c r="K262" s="8">
        <v>337.1</v>
      </c>
      <c r="L262" s="27" t="str">
        <f t="shared" si="1"/>
        <v/>
      </c>
      <c r="M262" s="27" t="str">
        <f t="shared" si="2"/>
        <v/>
      </c>
      <c r="N262" s="27">
        <f t="shared" si="3"/>
        <v>94</v>
      </c>
    </row>
    <row r="263">
      <c r="B263" s="6" t="s">
        <v>299</v>
      </c>
      <c r="C263" s="6" t="s">
        <v>61</v>
      </c>
      <c r="D263" s="6" t="s">
        <v>39</v>
      </c>
      <c r="E263" s="6" t="s">
        <v>55</v>
      </c>
      <c r="F263" s="6" t="s">
        <v>17</v>
      </c>
      <c r="G263" s="6" t="s">
        <v>23</v>
      </c>
      <c r="H263" s="7">
        <v>45184.0</v>
      </c>
      <c r="I263" s="8">
        <v>391.0</v>
      </c>
      <c r="J263" s="8">
        <v>280.54</v>
      </c>
      <c r="K263" s="8">
        <v>189.19</v>
      </c>
      <c r="L263" s="27">
        <f t="shared" si="1"/>
        <v>109691.14</v>
      </c>
      <c r="M263" s="27">
        <f t="shared" si="2"/>
        <v>35717.85</v>
      </c>
      <c r="N263" s="27">
        <f t="shared" si="3"/>
        <v>93</v>
      </c>
    </row>
    <row r="264">
      <c r="B264" s="6" t="s">
        <v>300</v>
      </c>
      <c r="C264" s="6" t="s">
        <v>20</v>
      </c>
      <c r="D264" s="6" t="s">
        <v>63</v>
      </c>
      <c r="E264" s="6" t="s">
        <v>16</v>
      </c>
      <c r="F264" s="6" t="s">
        <v>17</v>
      </c>
      <c r="G264" s="6" t="s">
        <v>18</v>
      </c>
      <c r="H264" s="7">
        <v>45185.0</v>
      </c>
      <c r="I264" s="8">
        <v>245.0</v>
      </c>
      <c r="J264" s="8">
        <v>131.54</v>
      </c>
      <c r="K264" s="8">
        <v>201.82</v>
      </c>
      <c r="L264" s="27">
        <f t="shared" si="1"/>
        <v>32227.3</v>
      </c>
      <c r="M264" s="27">
        <f t="shared" si="2"/>
        <v>-17218.6</v>
      </c>
      <c r="N264" s="27">
        <f t="shared" si="3"/>
        <v>92</v>
      </c>
    </row>
    <row r="265">
      <c r="B265" s="6" t="s">
        <v>301</v>
      </c>
      <c r="C265" s="6" t="s">
        <v>14</v>
      </c>
      <c r="D265" s="6" t="s">
        <v>15</v>
      </c>
      <c r="E265" s="6" t="s">
        <v>32</v>
      </c>
      <c r="F265" s="6" t="s">
        <v>17</v>
      </c>
      <c r="G265" s="6" t="s">
        <v>18</v>
      </c>
      <c r="H265" s="7">
        <v>45186.0</v>
      </c>
      <c r="I265" s="8">
        <v>349.0</v>
      </c>
      <c r="J265" s="8">
        <v>154.52</v>
      </c>
      <c r="K265" s="8">
        <v>51.64</v>
      </c>
      <c r="L265" s="27">
        <f t="shared" si="1"/>
        <v>53927.48</v>
      </c>
      <c r="M265" s="27">
        <f t="shared" si="2"/>
        <v>35905.12</v>
      </c>
      <c r="N265" s="27">
        <f t="shared" si="3"/>
        <v>91</v>
      </c>
    </row>
    <row r="266">
      <c r="B266" s="6" t="s">
        <v>302</v>
      </c>
      <c r="C266" s="6" t="s">
        <v>26</v>
      </c>
      <c r="D266" s="6" t="s">
        <v>21</v>
      </c>
      <c r="E266" s="6" t="s">
        <v>22</v>
      </c>
      <c r="F266" s="6" t="s">
        <v>28</v>
      </c>
      <c r="G266" s="6" t="s">
        <v>33</v>
      </c>
      <c r="H266" s="7">
        <v>45187.0</v>
      </c>
      <c r="I266" s="8">
        <v>237.0</v>
      </c>
      <c r="J266" s="6"/>
      <c r="K266" s="8">
        <v>155.38</v>
      </c>
      <c r="L266" s="27" t="str">
        <f t="shared" si="1"/>
        <v/>
      </c>
      <c r="M266" s="27" t="str">
        <f t="shared" si="2"/>
        <v/>
      </c>
      <c r="N266" s="27">
        <f t="shared" si="3"/>
        <v>90</v>
      </c>
    </row>
    <row r="267">
      <c r="B267" s="6" t="s">
        <v>303</v>
      </c>
      <c r="C267" s="6" t="s">
        <v>61</v>
      </c>
      <c r="D267" s="6" t="s">
        <v>63</v>
      </c>
      <c r="E267" s="6" t="s">
        <v>32</v>
      </c>
      <c r="F267" s="6" t="s">
        <v>28</v>
      </c>
      <c r="G267" s="6" t="s">
        <v>18</v>
      </c>
      <c r="H267" s="7">
        <v>45188.0</v>
      </c>
      <c r="I267" s="8">
        <v>18.0</v>
      </c>
      <c r="J267" s="8">
        <v>426.33</v>
      </c>
      <c r="K267" s="8">
        <v>258.06</v>
      </c>
      <c r="L267" s="27">
        <f t="shared" si="1"/>
        <v>7673.94</v>
      </c>
      <c r="M267" s="27">
        <f t="shared" si="2"/>
        <v>3028.86</v>
      </c>
      <c r="N267" s="27">
        <f t="shared" si="3"/>
        <v>89</v>
      </c>
    </row>
    <row r="268">
      <c r="B268" s="6" t="s">
        <v>304</v>
      </c>
      <c r="C268" s="6" t="s">
        <v>26</v>
      </c>
      <c r="D268" s="6" t="s">
        <v>63</v>
      </c>
      <c r="E268" s="6" t="s">
        <v>55</v>
      </c>
      <c r="F268" s="6" t="s">
        <v>28</v>
      </c>
      <c r="G268" s="6" t="s">
        <v>23</v>
      </c>
      <c r="H268" s="7">
        <v>45189.0</v>
      </c>
      <c r="I268" s="8">
        <v>175.0</v>
      </c>
      <c r="J268" s="8">
        <v>337.36</v>
      </c>
      <c r="K268" s="8">
        <v>312.6</v>
      </c>
      <c r="L268" s="27">
        <f t="shared" si="1"/>
        <v>59038</v>
      </c>
      <c r="M268" s="27">
        <f t="shared" si="2"/>
        <v>4333</v>
      </c>
      <c r="N268" s="27">
        <f t="shared" si="3"/>
        <v>88</v>
      </c>
    </row>
    <row r="269">
      <c r="B269" s="6" t="s">
        <v>305</v>
      </c>
      <c r="C269" s="6" t="s">
        <v>26</v>
      </c>
      <c r="D269" s="6" t="s">
        <v>21</v>
      </c>
      <c r="E269" s="6"/>
      <c r="F269" s="6" t="s">
        <v>17</v>
      </c>
      <c r="G269" s="6" t="s">
        <v>18</v>
      </c>
      <c r="H269" s="7">
        <v>45190.0</v>
      </c>
      <c r="I269" s="8">
        <v>441.0</v>
      </c>
      <c r="J269" s="8">
        <v>405.72</v>
      </c>
      <c r="K269" s="8">
        <v>88.45</v>
      </c>
      <c r="L269" s="27">
        <f t="shared" si="1"/>
        <v>178922.52</v>
      </c>
      <c r="M269" s="27">
        <f t="shared" si="2"/>
        <v>139916.07</v>
      </c>
      <c r="N269" s="27">
        <f t="shared" si="3"/>
        <v>87</v>
      </c>
    </row>
    <row r="270">
      <c r="B270" s="6" t="s">
        <v>306</v>
      </c>
      <c r="C270" s="6" t="s">
        <v>14</v>
      </c>
      <c r="D270" s="6" t="s">
        <v>15</v>
      </c>
      <c r="E270" s="6" t="s">
        <v>27</v>
      </c>
      <c r="F270" s="6" t="s">
        <v>28</v>
      </c>
      <c r="G270" s="6" t="s">
        <v>33</v>
      </c>
      <c r="H270" s="7">
        <v>45191.0</v>
      </c>
      <c r="I270" s="8">
        <v>453.0</v>
      </c>
      <c r="J270" s="8">
        <v>384.49</v>
      </c>
      <c r="K270" s="8">
        <v>56.85</v>
      </c>
      <c r="L270" s="27">
        <f t="shared" si="1"/>
        <v>174173.97</v>
      </c>
      <c r="M270" s="27">
        <f t="shared" si="2"/>
        <v>148420.92</v>
      </c>
      <c r="N270" s="27">
        <f t="shared" si="3"/>
        <v>86</v>
      </c>
    </row>
    <row r="271">
      <c r="B271" s="6" t="s">
        <v>307</v>
      </c>
      <c r="C271" s="6" t="s">
        <v>61</v>
      </c>
      <c r="D271" s="6" t="s">
        <v>31</v>
      </c>
      <c r="E271" s="6" t="s">
        <v>32</v>
      </c>
      <c r="F271" s="6" t="s">
        <v>17</v>
      </c>
      <c r="G271" s="6" t="s">
        <v>33</v>
      </c>
      <c r="H271" s="7">
        <v>45192.0</v>
      </c>
      <c r="I271" s="8">
        <v>328.0</v>
      </c>
      <c r="J271" s="8">
        <v>79.1</v>
      </c>
      <c r="K271" s="8">
        <v>265.89</v>
      </c>
      <c r="L271" s="27">
        <f t="shared" si="1"/>
        <v>25944.8</v>
      </c>
      <c r="M271" s="27">
        <f t="shared" si="2"/>
        <v>-61267.12</v>
      </c>
      <c r="N271" s="27">
        <f t="shared" si="3"/>
        <v>85</v>
      </c>
    </row>
    <row r="272">
      <c r="B272" s="6" t="s">
        <v>308</v>
      </c>
      <c r="C272" s="6" t="s">
        <v>20</v>
      </c>
      <c r="D272" s="6" t="s">
        <v>63</v>
      </c>
      <c r="E272" s="6" t="s">
        <v>55</v>
      </c>
      <c r="F272" s="6" t="s">
        <v>28</v>
      </c>
      <c r="G272" s="6" t="s">
        <v>33</v>
      </c>
      <c r="H272" s="7">
        <v>45193.0</v>
      </c>
      <c r="I272" s="8">
        <v>223.0</v>
      </c>
      <c r="J272" s="8">
        <v>214.85</v>
      </c>
      <c r="K272" s="8">
        <v>2.75</v>
      </c>
      <c r="L272" s="27">
        <f t="shared" si="1"/>
        <v>47911.55</v>
      </c>
      <c r="M272" s="27">
        <f t="shared" si="2"/>
        <v>47298.3</v>
      </c>
      <c r="N272" s="27">
        <f t="shared" si="3"/>
        <v>84</v>
      </c>
    </row>
    <row r="273">
      <c r="B273" s="6" t="s">
        <v>309</v>
      </c>
      <c r="C273" s="6" t="s">
        <v>20</v>
      </c>
      <c r="D273" s="6" t="s">
        <v>21</v>
      </c>
      <c r="E273" s="6" t="s">
        <v>16</v>
      </c>
      <c r="F273" s="6" t="s">
        <v>17</v>
      </c>
      <c r="G273" s="6" t="s">
        <v>33</v>
      </c>
      <c r="H273" s="7">
        <v>45194.0</v>
      </c>
      <c r="I273" s="8">
        <v>126.0</v>
      </c>
      <c r="J273" s="8">
        <v>80.73</v>
      </c>
      <c r="K273" s="8">
        <v>72.99</v>
      </c>
      <c r="L273" s="27">
        <f t="shared" si="1"/>
        <v>10171.98</v>
      </c>
      <c r="M273" s="27">
        <f t="shared" si="2"/>
        <v>975.24</v>
      </c>
      <c r="N273" s="27">
        <f t="shared" si="3"/>
        <v>83</v>
      </c>
    </row>
    <row r="274">
      <c r="B274" s="6" t="s">
        <v>310</v>
      </c>
      <c r="C274" s="6" t="s">
        <v>14</v>
      </c>
      <c r="D274" s="6" t="s">
        <v>39</v>
      </c>
      <c r="E274" s="6" t="s">
        <v>22</v>
      </c>
      <c r="F274" s="6" t="s">
        <v>17</v>
      </c>
      <c r="G274" s="6" t="s">
        <v>33</v>
      </c>
      <c r="H274" s="7">
        <v>45195.0</v>
      </c>
      <c r="I274" s="8">
        <v>395.0</v>
      </c>
      <c r="J274" s="8">
        <v>121.44</v>
      </c>
      <c r="K274" s="8">
        <v>13.57</v>
      </c>
      <c r="L274" s="27">
        <f t="shared" si="1"/>
        <v>47968.8</v>
      </c>
      <c r="M274" s="27">
        <f t="shared" si="2"/>
        <v>42608.65</v>
      </c>
      <c r="N274" s="27">
        <f t="shared" si="3"/>
        <v>82</v>
      </c>
    </row>
    <row r="275">
      <c r="B275" s="6" t="s">
        <v>311</v>
      </c>
      <c r="C275" s="6" t="s">
        <v>14</v>
      </c>
      <c r="D275" s="6" t="s">
        <v>21</v>
      </c>
      <c r="E275" s="6" t="s">
        <v>32</v>
      </c>
      <c r="F275" s="6" t="s">
        <v>28</v>
      </c>
      <c r="G275" s="6" t="s">
        <v>18</v>
      </c>
      <c r="H275" s="7">
        <v>45196.0</v>
      </c>
      <c r="I275" s="8">
        <v>353.0</v>
      </c>
      <c r="J275" s="8">
        <v>435.28</v>
      </c>
      <c r="K275" s="8">
        <v>68.42</v>
      </c>
      <c r="L275" s="27">
        <f t="shared" si="1"/>
        <v>153653.84</v>
      </c>
      <c r="M275" s="27">
        <f t="shared" si="2"/>
        <v>129501.58</v>
      </c>
      <c r="N275" s="27">
        <f t="shared" si="3"/>
        <v>81</v>
      </c>
    </row>
    <row r="276">
      <c r="B276" s="6" t="s">
        <v>312</v>
      </c>
      <c r="C276" s="6" t="s">
        <v>61</v>
      </c>
      <c r="D276" s="6" t="s">
        <v>39</v>
      </c>
      <c r="E276" s="6" t="s">
        <v>32</v>
      </c>
      <c r="F276" s="6" t="s">
        <v>28</v>
      </c>
      <c r="G276" s="6" t="s">
        <v>18</v>
      </c>
      <c r="H276" s="7">
        <v>45197.0</v>
      </c>
      <c r="I276" s="8">
        <v>81.0</v>
      </c>
      <c r="J276" s="8">
        <v>239.08</v>
      </c>
      <c r="K276" s="8">
        <v>74.17</v>
      </c>
      <c r="L276" s="27">
        <f t="shared" si="1"/>
        <v>19365.48</v>
      </c>
      <c r="M276" s="27">
        <f t="shared" si="2"/>
        <v>13357.71</v>
      </c>
      <c r="N276" s="27">
        <f t="shared" si="3"/>
        <v>80</v>
      </c>
    </row>
    <row r="277">
      <c r="B277" s="6" t="s">
        <v>313</v>
      </c>
      <c r="C277" s="6" t="s">
        <v>20</v>
      </c>
      <c r="D277" s="6" t="s">
        <v>15</v>
      </c>
      <c r="E277" s="6" t="s">
        <v>27</v>
      </c>
      <c r="F277" s="6" t="s">
        <v>28</v>
      </c>
      <c r="G277" s="6" t="s">
        <v>18</v>
      </c>
      <c r="H277" s="7">
        <v>45198.0</v>
      </c>
      <c r="I277" s="8">
        <v>404.0</v>
      </c>
      <c r="J277" s="8">
        <v>270.0</v>
      </c>
      <c r="K277" s="8">
        <v>156.29</v>
      </c>
      <c r="L277" s="27">
        <f t="shared" si="1"/>
        <v>109080</v>
      </c>
      <c r="M277" s="27">
        <f t="shared" si="2"/>
        <v>45938.84</v>
      </c>
      <c r="N277" s="27">
        <f t="shared" si="3"/>
        <v>79</v>
      </c>
    </row>
    <row r="278">
      <c r="B278" s="6" t="s">
        <v>314</v>
      </c>
      <c r="C278" s="6" t="s">
        <v>20</v>
      </c>
      <c r="D278" s="6" t="s">
        <v>31</v>
      </c>
      <c r="E278" s="6" t="s">
        <v>27</v>
      </c>
      <c r="F278" s="6" t="s">
        <v>28</v>
      </c>
      <c r="G278" s="6" t="s">
        <v>18</v>
      </c>
      <c r="H278" s="7">
        <v>45199.0</v>
      </c>
      <c r="I278" s="8">
        <v>73.0</v>
      </c>
      <c r="J278" s="8">
        <v>93.33</v>
      </c>
      <c r="K278" s="8">
        <v>162.13</v>
      </c>
      <c r="L278" s="27">
        <f t="shared" si="1"/>
        <v>6813.09</v>
      </c>
      <c r="M278" s="27">
        <f t="shared" si="2"/>
        <v>-5022.4</v>
      </c>
      <c r="N278" s="27">
        <f t="shared" si="3"/>
        <v>78</v>
      </c>
    </row>
    <row r="279">
      <c r="B279" s="6" t="s">
        <v>315</v>
      </c>
      <c r="C279" s="6" t="s">
        <v>20</v>
      </c>
      <c r="D279" s="6" t="s">
        <v>21</v>
      </c>
      <c r="E279" s="6" t="s">
        <v>16</v>
      </c>
      <c r="F279" s="6" t="s">
        <v>17</v>
      </c>
      <c r="G279" s="6" t="s">
        <v>33</v>
      </c>
      <c r="H279" s="7">
        <v>45200.0</v>
      </c>
      <c r="I279" s="8">
        <v>214.0</v>
      </c>
      <c r="J279" s="8">
        <v>159.57</v>
      </c>
      <c r="K279" s="8">
        <v>349.96</v>
      </c>
      <c r="L279" s="27">
        <f t="shared" si="1"/>
        <v>34147.98</v>
      </c>
      <c r="M279" s="27">
        <f t="shared" si="2"/>
        <v>-40743.46</v>
      </c>
      <c r="N279" s="27">
        <f t="shared" si="3"/>
        <v>77</v>
      </c>
    </row>
    <row r="280">
      <c r="B280" s="6" t="s">
        <v>316</v>
      </c>
      <c r="C280" s="6" t="s">
        <v>26</v>
      </c>
      <c r="D280" s="6" t="s">
        <v>63</v>
      </c>
      <c r="E280" s="6" t="s">
        <v>16</v>
      </c>
      <c r="F280" s="6" t="s">
        <v>28</v>
      </c>
      <c r="G280" s="6" t="s">
        <v>23</v>
      </c>
      <c r="H280" s="7">
        <v>45201.0</v>
      </c>
      <c r="I280" s="8">
        <v>218.0</v>
      </c>
      <c r="J280" s="8">
        <v>118.97</v>
      </c>
      <c r="K280" s="8">
        <v>205.02</v>
      </c>
      <c r="L280" s="27">
        <f t="shared" si="1"/>
        <v>25935.46</v>
      </c>
      <c r="M280" s="27">
        <f t="shared" si="2"/>
        <v>-18758.9</v>
      </c>
      <c r="N280" s="27">
        <f t="shared" si="3"/>
        <v>76</v>
      </c>
    </row>
    <row r="281">
      <c r="B281" s="6" t="s">
        <v>317</v>
      </c>
      <c r="C281" s="6" t="s">
        <v>20</v>
      </c>
      <c r="D281" s="6" t="s">
        <v>15</v>
      </c>
      <c r="E281" s="6" t="s">
        <v>55</v>
      </c>
      <c r="F281" s="6" t="s">
        <v>28</v>
      </c>
      <c r="G281" s="6" t="s">
        <v>18</v>
      </c>
      <c r="H281" s="7">
        <v>45202.0</v>
      </c>
      <c r="I281" s="8">
        <v>81.0</v>
      </c>
      <c r="J281" s="8">
        <v>107.06</v>
      </c>
      <c r="K281" s="8">
        <v>289.92</v>
      </c>
      <c r="L281" s="27">
        <f t="shared" si="1"/>
        <v>8671.86</v>
      </c>
      <c r="M281" s="27">
        <f t="shared" si="2"/>
        <v>-14811.66</v>
      </c>
      <c r="N281" s="27">
        <f t="shared" si="3"/>
        <v>75</v>
      </c>
    </row>
    <row r="282">
      <c r="B282" s="6" t="s">
        <v>318</v>
      </c>
      <c r="C282" s="6" t="s">
        <v>26</v>
      </c>
      <c r="D282" s="6" t="s">
        <v>21</v>
      </c>
      <c r="E282" s="6" t="s">
        <v>55</v>
      </c>
      <c r="F282" s="6" t="s">
        <v>28</v>
      </c>
      <c r="G282" s="6" t="s">
        <v>23</v>
      </c>
      <c r="H282" s="7">
        <v>45203.0</v>
      </c>
      <c r="I282" s="8">
        <v>286.0</v>
      </c>
      <c r="J282" s="8">
        <v>320.79</v>
      </c>
      <c r="K282" s="8">
        <v>43.45</v>
      </c>
      <c r="L282" s="27">
        <f t="shared" si="1"/>
        <v>91745.94</v>
      </c>
      <c r="M282" s="27">
        <f t="shared" si="2"/>
        <v>79319.24</v>
      </c>
      <c r="N282" s="27">
        <f t="shared" si="3"/>
        <v>74</v>
      </c>
    </row>
    <row r="283">
      <c r="B283" s="6" t="s">
        <v>319</v>
      </c>
      <c r="C283" s="6" t="s">
        <v>61</v>
      </c>
      <c r="D283" s="6" t="s">
        <v>63</v>
      </c>
      <c r="E283" s="6" t="s">
        <v>16</v>
      </c>
      <c r="F283" s="6" t="s">
        <v>17</v>
      </c>
      <c r="G283" s="6" t="s">
        <v>18</v>
      </c>
      <c r="H283" s="7">
        <v>45204.0</v>
      </c>
      <c r="I283" s="8">
        <v>283.0</v>
      </c>
      <c r="J283" s="8">
        <v>132.16</v>
      </c>
      <c r="K283" s="8">
        <v>91.72</v>
      </c>
      <c r="L283" s="27">
        <f t="shared" si="1"/>
        <v>37401.28</v>
      </c>
      <c r="M283" s="27">
        <f t="shared" si="2"/>
        <v>11444.52</v>
      </c>
      <c r="N283" s="27">
        <f t="shared" si="3"/>
        <v>73</v>
      </c>
    </row>
    <row r="284">
      <c r="B284" s="6" t="s">
        <v>320</v>
      </c>
      <c r="C284" s="6" t="s">
        <v>26</v>
      </c>
      <c r="D284" s="6" t="s">
        <v>21</v>
      </c>
      <c r="E284" s="6" t="s">
        <v>16</v>
      </c>
      <c r="F284" s="6" t="s">
        <v>17</v>
      </c>
      <c r="G284" s="6" t="s">
        <v>18</v>
      </c>
      <c r="H284" s="7">
        <v>45205.0</v>
      </c>
      <c r="I284" s="8">
        <v>487.0</v>
      </c>
      <c r="J284" s="8">
        <v>317.85</v>
      </c>
      <c r="K284" s="8">
        <v>281.77</v>
      </c>
      <c r="L284" s="27">
        <f t="shared" si="1"/>
        <v>154792.95</v>
      </c>
      <c r="M284" s="27">
        <f t="shared" si="2"/>
        <v>17570.96</v>
      </c>
      <c r="N284" s="27">
        <f t="shared" si="3"/>
        <v>72</v>
      </c>
    </row>
    <row r="285">
      <c r="B285" s="6" t="s">
        <v>321</v>
      </c>
      <c r="C285" s="6" t="s">
        <v>61</v>
      </c>
      <c r="D285" s="6" t="s">
        <v>39</v>
      </c>
      <c r="E285" s="6" t="s">
        <v>22</v>
      </c>
      <c r="F285" s="6" t="s">
        <v>28</v>
      </c>
      <c r="G285" s="6" t="s">
        <v>23</v>
      </c>
      <c r="H285" s="7">
        <v>45206.0</v>
      </c>
      <c r="I285" s="8">
        <v>329.0</v>
      </c>
      <c r="J285" s="8">
        <v>33.94</v>
      </c>
      <c r="K285" s="8">
        <v>23.02</v>
      </c>
      <c r="L285" s="27">
        <f t="shared" si="1"/>
        <v>11166.26</v>
      </c>
      <c r="M285" s="27">
        <f t="shared" si="2"/>
        <v>3592.68</v>
      </c>
      <c r="N285" s="27">
        <f t="shared" si="3"/>
        <v>71</v>
      </c>
    </row>
    <row r="286">
      <c r="B286" s="6" t="s">
        <v>322</v>
      </c>
      <c r="C286" s="6" t="s">
        <v>20</v>
      </c>
      <c r="D286" s="6" t="s">
        <v>21</v>
      </c>
      <c r="E286" s="6" t="s">
        <v>27</v>
      </c>
      <c r="F286" s="6" t="s">
        <v>17</v>
      </c>
      <c r="G286" s="6" t="s">
        <v>33</v>
      </c>
      <c r="H286" s="7">
        <v>45207.0</v>
      </c>
      <c r="I286" s="8">
        <v>347.0</v>
      </c>
      <c r="J286" s="8">
        <v>75.18</v>
      </c>
      <c r="K286" s="8">
        <v>195.67</v>
      </c>
      <c r="L286" s="27">
        <f t="shared" si="1"/>
        <v>26087.46</v>
      </c>
      <c r="M286" s="27">
        <f t="shared" si="2"/>
        <v>-41810.03</v>
      </c>
      <c r="N286" s="27">
        <f t="shared" si="3"/>
        <v>70</v>
      </c>
    </row>
    <row r="287">
      <c r="B287" s="6" t="s">
        <v>323</v>
      </c>
      <c r="C287" s="6" t="s">
        <v>20</v>
      </c>
      <c r="D287" s="6" t="s">
        <v>21</v>
      </c>
      <c r="E287" s="6" t="s">
        <v>55</v>
      </c>
      <c r="F287" s="6" t="s">
        <v>28</v>
      </c>
      <c r="G287" s="6" t="s">
        <v>18</v>
      </c>
      <c r="H287" s="7">
        <v>45208.0</v>
      </c>
      <c r="I287" s="8">
        <v>375.0</v>
      </c>
      <c r="J287" s="8">
        <v>140.9</v>
      </c>
      <c r="K287" s="8">
        <v>240.55</v>
      </c>
      <c r="L287" s="27">
        <f t="shared" si="1"/>
        <v>52837.5</v>
      </c>
      <c r="M287" s="27">
        <f t="shared" si="2"/>
        <v>-37368.75</v>
      </c>
      <c r="N287" s="27">
        <f t="shared" si="3"/>
        <v>69</v>
      </c>
    </row>
    <row r="288">
      <c r="B288" s="6" t="s">
        <v>324</v>
      </c>
      <c r="C288" s="6" t="s">
        <v>61</v>
      </c>
      <c r="D288" s="6" t="s">
        <v>21</v>
      </c>
      <c r="E288" s="6" t="s">
        <v>27</v>
      </c>
      <c r="F288" s="6" t="s">
        <v>17</v>
      </c>
      <c r="G288" s="6" t="s">
        <v>18</v>
      </c>
      <c r="H288" s="7">
        <v>45209.0</v>
      </c>
      <c r="I288" s="8">
        <v>104.0</v>
      </c>
      <c r="J288" s="8">
        <v>300.54</v>
      </c>
      <c r="K288" s="8">
        <v>241.65</v>
      </c>
      <c r="L288" s="27">
        <f t="shared" si="1"/>
        <v>31256.16</v>
      </c>
      <c r="M288" s="27">
        <f t="shared" si="2"/>
        <v>6124.56</v>
      </c>
      <c r="N288" s="27">
        <f t="shared" si="3"/>
        <v>68</v>
      </c>
    </row>
    <row r="289">
      <c r="B289" s="6" t="s">
        <v>325</v>
      </c>
      <c r="C289" s="6" t="s">
        <v>14</v>
      </c>
      <c r="D289" s="6" t="s">
        <v>15</v>
      </c>
      <c r="E289" s="6"/>
      <c r="F289" s="6" t="s">
        <v>17</v>
      </c>
      <c r="G289" s="6" t="s">
        <v>18</v>
      </c>
      <c r="H289" s="7">
        <v>45210.0</v>
      </c>
      <c r="I289" s="8">
        <v>175.0</v>
      </c>
      <c r="J289" s="8">
        <v>339.54</v>
      </c>
      <c r="K289" s="8">
        <v>11.13</v>
      </c>
      <c r="L289" s="27">
        <f t="shared" si="1"/>
        <v>59419.5</v>
      </c>
      <c r="M289" s="27">
        <f t="shared" si="2"/>
        <v>57471.75</v>
      </c>
      <c r="N289" s="27">
        <f t="shared" si="3"/>
        <v>67</v>
      </c>
    </row>
    <row r="290">
      <c r="B290" s="6" t="s">
        <v>326</v>
      </c>
      <c r="C290" s="6" t="s">
        <v>61</v>
      </c>
      <c r="D290" s="6" t="s">
        <v>21</v>
      </c>
      <c r="E290" s="6" t="s">
        <v>16</v>
      </c>
      <c r="F290" s="6" t="s">
        <v>17</v>
      </c>
      <c r="G290" s="6" t="s">
        <v>23</v>
      </c>
      <c r="H290" s="7">
        <v>45211.0</v>
      </c>
      <c r="I290" s="8">
        <v>41.0</v>
      </c>
      <c r="J290" s="8">
        <v>224.14</v>
      </c>
      <c r="K290" s="8">
        <v>130.2</v>
      </c>
      <c r="L290" s="27">
        <f t="shared" si="1"/>
        <v>9189.74</v>
      </c>
      <c r="M290" s="27">
        <f t="shared" si="2"/>
        <v>3851.54</v>
      </c>
      <c r="N290" s="27">
        <f t="shared" si="3"/>
        <v>66</v>
      </c>
    </row>
    <row r="291">
      <c r="B291" s="6" t="s">
        <v>327</v>
      </c>
      <c r="C291" s="6" t="s">
        <v>14</v>
      </c>
      <c r="D291" s="6" t="s">
        <v>63</v>
      </c>
      <c r="E291" s="6" t="s">
        <v>22</v>
      </c>
      <c r="F291" s="6" t="s">
        <v>17</v>
      </c>
      <c r="G291" s="6" t="s">
        <v>33</v>
      </c>
      <c r="H291" s="7">
        <v>45212.0</v>
      </c>
      <c r="I291" s="8">
        <v>20.0</v>
      </c>
      <c r="J291" s="8">
        <v>225.67</v>
      </c>
      <c r="K291" s="8">
        <v>255.32</v>
      </c>
      <c r="L291" s="27">
        <f t="shared" si="1"/>
        <v>4513.4</v>
      </c>
      <c r="M291" s="27">
        <f t="shared" si="2"/>
        <v>-593</v>
      </c>
      <c r="N291" s="27">
        <f t="shared" si="3"/>
        <v>65</v>
      </c>
    </row>
    <row r="292">
      <c r="B292" s="6" t="s">
        <v>328</v>
      </c>
      <c r="C292" s="6" t="s">
        <v>26</v>
      </c>
      <c r="D292" s="6" t="s">
        <v>39</v>
      </c>
      <c r="E292" s="6" t="s">
        <v>32</v>
      </c>
      <c r="F292" s="6" t="s">
        <v>28</v>
      </c>
      <c r="G292" s="6" t="s">
        <v>23</v>
      </c>
      <c r="H292" s="7">
        <v>45213.0</v>
      </c>
      <c r="I292" s="8">
        <v>310.0</v>
      </c>
      <c r="J292" s="8">
        <v>363.64</v>
      </c>
      <c r="K292" s="8">
        <v>61.3</v>
      </c>
      <c r="L292" s="27">
        <f t="shared" si="1"/>
        <v>112728.4</v>
      </c>
      <c r="M292" s="27">
        <f t="shared" si="2"/>
        <v>93725.4</v>
      </c>
      <c r="N292" s="27">
        <f t="shared" si="3"/>
        <v>64</v>
      </c>
    </row>
    <row r="293">
      <c r="B293" s="6" t="s">
        <v>329</v>
      </c>
      <c r="C293" s="6" t="s">
        <v>26</v>
      </c>
      <c r="D293" s="6" t="s">
        <v>39</v>
      </c>
      <c r="E293" s="6" t="s">
        <v>22</v>
      </c>
      <c r="F293" s="6" t="s">
        <v>28</v>
      </c>
      <c r="G293" s="6" t="s">
        <v>23</v>
      </c>
      <c r="H293" s="7">
        <v>45214.0</v>
      </c>
      <c r="I293" s="8">
        <v>226.0</v>
      </c>
      <c r="J293" s="6"/>
      <c r="K293" s="8">
        <v>278.78</v>
      </c>
      <c r="L293" s="27" t="str">
        <f t="shared" si="1"/>
        <v/>
      </c>
      <c r="M293" s="27" t="str">
        <f t="shared" si="2"/>
        <v/>
      </c>
      <c r="N293" s="27">
        <f t="shared" si="3"/>
        <v>63</v>
      </c>
    </row>
    <row r="294">
      <c r="B294" s="6" t="s">
        <v>330</v>
      </c>
      <c r="C294" s="6" t="s">
        <v>26</v>
      </c>
      <c r="D294" s="6" t="s">
        <v>21</v>
      </c>
      <c r="E294" s="6" t="s">
        <v>22</v>
      </c>
      <c r="F294" s="6" t="s">
        <v>28</v>
      </c>
      <c r="G294" s="6" t="s">
        <v>33</v>
      </c>
      <c r="H294" s="7">
        <v>45215.0</v>
      </c>
      <c r="I294" s="6"/>
      <c r="J294" s="8">
        <v>173.84</v>
      </c>
      <c r="K294" s="8">
        <v>298.88</v>
      </c>
      <c r="L294" s="27" t="str">
        <f t="shared" si="1"/>
        <v/>
      </c>
      <c r="M294" s="27" t="str">
        <f t="shared" si="2"/>
        <v/>
      </c>
      <c r="N294" s="27">
        <f t="shared" si="3"/>
        <v>62</v>
      </c>
    </row>
    <row r="295">
      <c r="B295" s="6" t="s">
        <v>331</v>
      </c>
      <c r="C295" s="6" t="s">
        <v>20</v>
      </c>
      <c r="D295" s="6" t="s">
        <v>15</v>
      </c>
      <c r="E295" s="6" t="s">
        <v>27</v>
      </c>
      <c r="F295" s="6" t="s">
        <v>17</v>
      </c>
      <c r="G295" s="6" t="s">
        <v>23</v>
      </c>
      <c r="H295" s="7">
        <v>45216.0</v>
      </c>
      <c r="I295" s="8">
        <v>111.0</v>
      </c>
      <c r="J295" s="8">
        <v>410.26</v>
      </c>
      <c r="K295" s="8">
        <v>392.82</v>
      </c>
      <c r="L295" s="27">
        <f t="shared" si="1"/>
        <v>45538.86</v>
      </c>
      <c r="M295" s="27">
        <f t="shared" si="2"/>
        <v>1935.84</v>
      </c>
      <c r="N295" s="27">
        <f t="shared" si="3"/>
        <v>61</v>
      </c>
    </row>
    <row r="296">
      <c r="B296" s="6" t="s">
        <v>332</v>
      </c>
      <c r="C296" s="6" t="s">
        <v>26</v>
      </c>
      <c r="D296" s="6" t="s">
        <v>15</v>
      </c>
      <c r="E296" s="6" t="s">
        <v>22</v>
      </c>
      <c r="F296" s="6" t="s">
        <v>28</v>
      </c>
      <c r="G296" s="6" t="s">
        <v>33</v>
      </c>
      <c r="H296" s="7">
        <v>45217.0</v>
      </c>
      <c r="I296" s="8">
        <v>434.0</v>
      </c>
      <c r="J296" s="8">
        <v>303.59</v>
      </c>
      <c r="K296" s="8">
        <v>85.52</v>
      </c>
      <c r="L296" s="27">
        <f t="shared" si="1"/>
        <v>131758.06</v>
      </c>
      <c r="M296" s="27">
        <f t="shared" si="2"/>
        <v>94642.38</v>
      </c>
      <c r="N296" s="27">
        <f t="shared" si="3"/>
        <v>60</v>
      </c>
    </row>
    <row r="297">
      <c r="B297" s="6" t="s">
        <v>333</v>
      </c>
      <c r="C297" s="6" t="s">
        <v>14</v>
      </c>
      <c r="D297" s="6" t="s">
        <v>63</v>
      </c>
      <c r="E297" s="6" t="s">
        <v>55</v>
      </c>
      <c r="F297" s="6" t="s">
        <v>28</v>
      </c>
      <c r="G297" s="6" t="s">
        <v>18</v>
      </c>
      <c r="H297" s="7">
        <v>45218.0</v>
      </c>
      <c r="I297" s="8">
        <v>401.0</v>
      </c>
      <c r="J297" s="8">
        <v>171.93</v>
      </c>
      <c r="K297" s="8">
        <v>330.4</v>
      </c>
      <c r="L297" s="27">
        <f t="shared" si="1"/>
        <v>68943.93</v>
      </c>
      <c r="M297" s="27">
        <f t="shared" si="2"/>
        <v>-63546.47</v>
      </c>
      <c r="N297" s="27">
        <f t="shared" si="3"/>
        <v>59</v>
      </c>
    </row>
    <row r="298">
      <c r="B298" s="6" t="s">
        <v>334</v>
      </c>
      <c r="C298" s="6" t="s">
        <v>26</v>
      </c>
      <c r="D298" s="6" t="s">
        <v>21</v>
      </c>
      <c r="E298" s="6" t="s">
        <v>27</v>
      </c>
      <c r="F298" s="6" t="s">
        <v>28</v>
      </c>
      <c r="G298" s="6" t="s">
        <v>33</v>
      </c>
      <c r="H298" s="7">
        <v>45219.0</v>
      </c>
      <c r="I298" s="8">
        <v>276.0</v>
      </c>
      <c r="J298" s="8">
        <v>453.23</v>
      </c>
      <c r="K298" s="8">
        <v>209.08</v>
      </c>
      <c r="L298" s="27">
        <f t="shared" si="1"/>
        <v>125091.48</v>
      </c>
      <c r="M298" s="27">
        <f t="shared" si="2"/>
        <v>67385.4</v>
      </c>
      <c r="N298" s="27">
        <f t="shared" si="3"/>
        <v>58</v>
      </c>
    </row>
    <row r="299">
      <c r="B299" s="6" t="s">
        <v>335</v>
      </c>
      <c r="C299" s="6" t="s">
        <v>61</v>
      </c>
      <c r="D299" s="6" t="s">
        <v>39</v>
      </c>
      <c r="E299" s="6" t="s">
        <v>55</v>
      </c>
      <c r="F299" s="6" t="s">
        <v>17</v>
      </c>
      <c r="G299" s="6" t="s">
        <v>18</v>
      </c>
      <c r="H299" s="7">
        <v>45220.0</v>
      </c>
      <c r="I299" s="6"/>
      <c r="J299" s="8">
        <v>387.45</v>
      </c>
      <c r="K299" s="8">
        <v>150.64</v>
      </c>
      <c r="L299" s="27" t="str">
        <f t="shared" si="1"/>
        <v/>
      </c>
      <c r="M299" s="27" t="str">
        <f t="shared" si="2"/>
        <v/>
      </c>
      <c r="N299" s="27">
        <f t="shared" si="3"/>
        <v>57</v>
      </c>
    </row>
    <row r="300">
      <c r="B300" s="6" t="s">
        <v>336</v>
      </c>
      <c r="C300" s="6" t="s">
        <v>61</v>
      </c>
      <c r="D300" s="6" t="s">
        <v>15</v>
      </c>
      <c r="E300" s="6" t="s">
        <v>32</v>
      </c>
      <c r="F300" s="6" t="s">
        <v>17</v>
      </c>
      <c r="G300" s="6" t="s">
        <v>23</v>
      </c>
      <c r="H300" s="7">
        <v>45221.0</v>
      </c>
      <c r="I300" s="8">
        <v>188.0</v>
      </c>
      <c r="J300" s="8">
        <v>136.12</v>
      </c>
      <c r="K300" s="8">
        <v>50.71</v>
      </c>
      <c r="L300" s="27">
        <f t="shared" si="1"/>
        <v>25590.56</v>
      </c>
      <c r="M300" s="27">
        <f t="shared" si="2"/>
        <v>16057.08</v>
      </c>
      <c r="N300" s="27">
        <f t="shared" si="3"/>
        <v>56</v>
      </c>
    </row>
    <row r="301">
      <c r="B301" s="6" t="s">
        <v>337</v>
      </c>
      <c r="C301" s="6" t="s">
        <v>20</v>
      </c>
      <c r="D301" s="6" t="s">
        <v>21</v>
      </c>
      <c r="E301" s="6" t="s">
        <v>27</v>
      </c>
      <c r="F301" s="6" t="s">
        <v>17</v>
      </c>
      <c r="G301" s="6" t="s">
        <v>23</v>
      </c>
      <c r="H301" s="7">
        <v>45222.0</v>
      </c>
      <c r="I301" s="8">
        <v>97.0</v>
      </c>
      <c r="J301" s="8">
        <v>324.42</v>
      </c>
      <c r="K301" s="8">
        <v>294.73</v>
      </c>
      <c r="L301" s="27">
        <f t="shared" si="1"/>
        <v>31468.74</v>
      </c>
      <c r="M301" s="27">
        <f t="shared" si="2"/>
        <v>2879.93</v>
      </c>
      <c r="N301" s="27">
        <f t="shared" si="3"/>
        <v>55</v>
      </c>
    </row>
    <row r="302">
      <c r="B302" s="6" t="s">
        <v>338</v>
      </c>
      <c r="C302" s="6" t="s">
        <v>61</v>
      </c>
      <c r="D302" s="6" t="s">
        <v>15</v>
      </c>
      <c r="E302" s="6" t="s">
        <v>32</v>
      </c>
      <c r="F302" s="6" t="s">
        <v>28</v>
      </c>
      <c r="G302" s="6" t="s">
        <v>18</v>
      </c>
      <c r="H302" s="7">
        <v>45223.0</v>
      </c>
      <c r="I302" s="8">
        <v>50.0</v>
      </c>
      <c r="J302" s="8">
        <v>299.9</v>
      </c>
      <c r="K302" s="8">
        <v>95.87</v>
      </c>
      <c r="L302" s="27">
        <f t="shared" si="1"/>
        <v>14995</v>
      </c>
      <c r="M302" s="27">
        <f t="shared" si="2"/>
        <v>10201.5</v>
      </c>
      <c r="N302" s="27">
        <f t="shared" si="3"/>
        <v>54</v>
      </c>
    </row>
    <row r="303">
      <c r="B303" s="6" t="s">
        <v>339</v>
      </c>
      <c r="C303" s="6" t="s">
        <v>14</v>
      </c>
      <c r="D303" s="6" t="s">
        <v>15</v>
      </c>
      <c r="E303" s="6" t="s">
        <v>27</v>
      </c>
      <c r="F303" s="6" t="s">
        <v>28</v>
      </c>
      <c r="G303" s="6" t="s">
        <v>23</v>
      </c>
      <c r="H303" s="7">
        <v>45224.0</v>
      </c>
      <c r="I303" s="8">
        <v>410.0</v>
      </c>
      <c r="J303" s="8">
        <v>203.59</v>
      </c>
      <c r="K303" s="8">
        <v>149.83</v>
      </c>
      <c r="L303" s="27">
        <f t="shared" si="1"/>
        <v>83471.9</v>
      </c>
      <c r="M303" s="27">
        <f t="shared" si="2"/>
        <v>22041.6</v>
      </c>
      <c r="N303" s="27">
        <f t="shared" si="3"/>
        <v>53</v>
      </c>
    </row>
    <row r="304">
      <c r="B304" s="6" t="s">
        <v>340</v>
      </c>
      <c r="C304" s="6" t="s">
        <v>26</v>
      </c>
      <c r="D304" s="6" t="s">
        <v>39</v>
      </c>
      <c r="E304" s="6" t="s">
        <v>16</v>
      </c>
      <c r="F304" s="6" t="s">
        <v>28</v>
      </c>
      <c r="G304" s="6" t="s">
        <v>33</v>
      </c>
      <c r="H304" s="7">
        <v>45225.0</v>
      </c>
      <c r="I304" s="8">
        <v>85.0</v>
      </c>
      <c r="J304" s="8">
        <v>186.64</v>
      </c>
      <c r="K304" s="8">
        <v>26.89</v>
      </c>
      <c r="L304" s="27">
        <f t="shared" si="1"/>
        <v>15864.4</v>
      </c>
      <c r="M304" s="27">
        <f t="shared" si="2"/>
        <v>13578.75</v>
      </c>
      <c r="N304" s="27">
        <f t="shared" si="3"/>
        <v>52</v>
      </c>
    </row>
    <row r="305">
      <c r="B305" s="6" t="s">
        <v>341</v>
      </c>
      <c r="C305" s="6" t="s">
        <v>20</v>
      </c>
      <c r="D305" s="6" t="s">
        <v>31</v>
      </c>
      <c r="E305" s="6" t="s">
        <v>22</v>
      </c>
      <c r="F305" s="6" t="s">
        <v>17</v>
      </c>
      <c r="G305" s="6" t="s">
        <v>18</v>
      </c>
      <c r="H305" s="7">
        <v>45226.0</v>
      </c>
      <c r="I305" s="8">
        <v>386.0</v>
      </c>
      <c r="J305" s="8">
        <v>175.06</v>
      </c>
      <c r="K305" s="8">
        <v>320.94</v>
      </c>
      <c r="L305" s="27">
        <f t="shared" si="1"/>
        <v>67573.16</v>
      </c>
      <c r="M305" s="27">
        <f t="shared" si="2"/>
        <v>-56309.68</v>
      </c>
      <c r="N305" s="27">
        <f t="shared" si="3"/>
        <v>51</v>
      </c>
    </row>
    <row r="306">
      <c r="B306" s="6" t="s">
        <v>342</v>
      </c>
      <c r="C306" s="6" t="s">
        <v>26</v>
      </c>
      <c r="D306" s="6" t="s">
        <v>63</v>
      </c>
      <c r="E306" s="6" t="s">
        <v>16</v>
      </c>
      <c r="F306" s="6" t="s">
        <v>17</v>
      </c>
      <c r="G306" s="6" t="s">
        <v>23</v>
      </c>
      <c r="H306" s="7">
        <v>45227.0</v>
      </c>
      <c r="I306" s="8">
        <v>55.0</v>
      </c>
      <c r="J306" s="8">
        <v>310.49</v>
      </c>
      <c r="K306" s="8">
        <v>307.1</v>
      </c>
      <c r="L306" s="27">
        <f t="shared" si="1"/>
        <v>17076.95</v>
      </c>
      <c r="M306" s="27">
        <f t="shared" si="2"/>
        <v>186.45</v>
      </c>
      <c r="N306" s="27">
        <f t="shared" si="3"/>
        <v>50</v>
      </c>
    </row>
    <row r="307">
      <c r="B307" s="6" t="s">
        <v>343</v>
      </c>
      <c r="C307" s="6" t="s">
        <v>26</v>
      </c>
      <c r="D307" s="6" t="s">
        <v>63</v>
      </c>
      <c r="E307" s="6" t="s">
        <v>32</v>
      </c>
      <c r="F307" s="6" t="s">
        <v>28</v>
      </c>
      <c r="G307" s="6" t="s">
        <v>18</v>
      </c>
      <c r="H307" s="7">
        <v>45228.0</v>
      </c>
      <c r="I307" s="8">
        <v>169.0</v>
      </c>
      <c r="J307" s="8">
        <v>223.99</v>
      </c>
      <c r="K307" s="8">
        <v>293.98</v>
      </c>
      <c r="L307" s="27">
        <f t="shared" si="1"/>
        <v>37854.31</v>
      </c>
      <c r="M307" s="27">
        <f t="shared" si="2"/>
        <v>-11828.31</v>
      </c>
      <c r="N307" s="27">
        <f t="shared" si="3"/>
        <v>49</v>
      </c>
    </row>
    <row r="308">
      <c r="B308" s="6" t="s">
        <v>344</v>
      </c>
      <c r="C308" s="6" t="s">
        <v>14</v>
      </c>
      <c r="D308" s="6" t="s">
        <v>39</v>
      </c>
      <c r="E308" s="6" t="s">
        <v>22</v>
      </c>
      <c r="F308" s="6" t="s">
        <v>17</v>
      </c>
      <c r="G308" s="6" t="s">
        <v>33</v>
      </c>
      <c r="H308" s="7">
        <v>45229.0</v>
      </c>
      <c r="I308" s="8">
        <v>472.0</v>
      </c>
      <c r="J308" s="8">
        <v>416.77</v>
      </c>
      <c r="K308" s="8">
        <v>121.18</v>
      </c>
      <c r="L308" s="27">
        <f t="shared" si="1"/>
        <v>196715.44</v>
      </c>
      <c r="M308" s="27">
        <f t="shared" si="2"/>
        <v>139518.48</v>
      </c>
      <c r="N308" s="27">
        <f t="shared" si="3"/>
        <v>48</v>
      </c>
    </row>
    <row r="309">
      <c r="B309" s="6" t="s">
        <v>345</v>
      </c>
      <c r="C309" s="6" t="s">
        <v>61</v>
      </c>
      <c r="D309" s="6" t="s">
        <v>15</v>
      </c>
      <c r="E309" s="6" t="s">
        <v>27</v>
      </c>
      <c r="F309" s="6" t="s">
        <v>17</v>
      </c>
      <c r="G309" s="6" t="s">
        <v>33</v>
      </c>
      <c r="H309" s="7">
        <v>45230.0</v>
      </c>
      <c r="I309" s="8">
        <v>89.0</v>
      </c>
      <c r="J309" s="8">
        <v>336.45</v>
      </c>
      <c r="K309" s="8">
        <v>71.05</v>
      </c>
      <c r="L309" s="27">
        <f t="shared" si="1"/>
        <v>29944.05</v>
      </c>
      <c r="M309" s="27">
        <f t="shared" si="2"/>
        <v>23620.6</v>
      </c>
      <c r="N309" s="27">
        <f t="shared" si="3"/>
        <v>47</v>
      </c>
    </row>
    <row r="310">
      <c r="B310" s="6" t="s">
        <v>346</v>
      </c>
      <c r="C310" s="6" t="s">
        <v>61</v>
      </c>
      <c r="D310" s="6" t="s">
        <v>21</v>
      </c>
      <c r="E310" s="6" t="s">
        <v>22</v>
      </c>
      <c r="F310" s="6" t="s">
        <v>17</v>
      </c>
      <c r="G310" s="6" t="s">
        <v>23</v>
      </c>
      <c r="H310" s="7">
        <v>45231.0</v>
      </c>
      <c r="I310" s="8">
        <v>319.0</v>
      </c>
      <c r="J310" s="8">
        <v>39.62</v>
      </c>
      <c r="K310" s="8">
        <v>255.75</v>
      </c>
      <c r="L310" s="27">
        <f t="shared" si="1"/>
        <v>12638.78</v>
      </c>
      <c r="M310" s="27">
        <f t="shared" si="2"/>
        <v>-68945.47</v>
      </c>
      <c r="N310" s="27">
        <f t="shared" si="3"/>
        <v>46</v>
      </c>
    </row>
    <row r="311">
      <c r="B311" s="6" t="s">
        <v>347</v>
      </c>
      <c r="C311" s="6" t="s">
        <v>26</v>
      </c>
      <c r="D311" s="6" t="s">
        <v>15</v>
      </c>
      <c r="E311" s="6"/>
      <c r="F311" s="6" t="s">
        <v>17</v>
      </c>
      <c r="G311" s="6" t="s">
        <v>33</v>
      </c>
      <c r="H311" s="7">
        <v>45232.0</v>
      </c>
      <c r="I311" s="8">
        <v>95.0</v>
      </c>
      <c r="J311" s="8">
        <v>321.88</v>
      </c>
      <c r="K311" s="8">
        <v>199.47</v>
      </c>
      <c r="L311" s="27">
        <f t="shared" si="1"/>
        <v>30578.6</v>
      </c>
      <c r="M311" s="27">
        <f t="shared" si="2"/>
        <v>11628.95</v>
      </c>
      <c r="N311" s="27">
        <f t="shared" si="3"/>
        <v>45</v>
      </c>
    </row>
    <row r="312">
      <c r="B312" s="6" t="s">
        <v>348</v>
      </c>
      <c r="C312" s="6" t="s">
        <v>20</v>
      </c>
      <c r="D312" s="6" t="s">
        <v>39</v>
      </c>
      <c r="E312" s="6"/>
      <c r="F312" s="6" t="s">
        <v>28</v>
      </c>
      <c r="G312" s="6" t="s">
        <v>18</v>
      </c>
      <c r="H312" s="7">
        <v>45233.0</v>
      </c>
      <c r="I312" s="8">
        <v>101.0</v>
      </c>
      <c r="J312" s="8">
        <v>139.22</v>
      </c>
      <c r="K312" s="8">
        <v>72.94</v>
      </c>
      <c r="L312" s="27">
        <f t="shared" si="1"/>
        <v>14061.22</v>
      </c>
      <c r="M312" s="27">
        <f t="shared" si="2"/>
        <v>6694.28</v>
      </c>
      <c r="N312" s="27">
        <f t="shared" si="3"/>
        <v>44</v>
      </c>
    </row>
    <row r="313">
      <c r="B313" s="6" t="s">
        <v>349</v>
      </c>
      <c r="C313" s="6" t="s">
        <v>61</v>
      </c>
      <c r="D313" s="6" t="s">
        <v>63</v>
      </c>
      <c r="E313" s="6"/>
      <c r="F313" s="6" t="s">
        <v>17</v>
      </c>
      <c r="G313" s="6" t="s">
        <v>33</v>
      </c>
      <c r="H313" s="7">
        <v>45234.0</v>
      </c>
      <c r="I313" s="8">
        <v>157.0</v>
      </c>
      <c r="J313" s="6"/>
      <c r="K313" s="8">
        <v>274.99</v>
      </c>
      <c r="L313" s="27" t="str">
        <f t="shared" si="1"/>
        <v/>
      </c>
      <c r="M313" s="27" t="str">
        <f t="shared" si="2"/>
        <v/>
      </c>
      <c r="N313" s="27">
        <f t="shared" si="3"/>
        <v>43</v>
      </c>
    </row>
    <row r="314">
      <c r="B314" s="6" t="s">
        <v>350</v>
      </c>
      <c r="C314" s="6" t="s">
        <v>20</v>
      </c>
      <c r="D314" s="6" t="s">
        <v>15</v>
      </c>
      <c r="E314" s="6" t="s">
        <v>22</v>
      </c>
      <c r="F314" s="6" t="s">
        <v>17</v>
      </c>
      <c r="G314" s="6" t="s">
        <v>18</v>
      </c>
      <c r="H314" s="7">
        <v>45235.0</v>
      </c>
      <c r="I314" s="8">
        <v>170.0</v>
      </c>
      <c r="J314" s="8">
        <v>341.67</v>
      </c>
      <c r="K314" s="8">
        <v>396.47</v>
      </c>
      <c r="L314" s="27">
        <f t="shared" si="1"/>
        <v>58083.9</v>
      </c>
      <c r="M314" s="27">
        <f t="shared" si="2"/>
        <v>-9316</v>
      </c>
      <c r="N314" s="27">
        <f t="shared" si="3"/>
        <v>42</v>
      </c>
    </row>
    <row r="315">
      <c r="B315" s="6" t="s">
        <v>351</v>
      </c>
      <c r="C315" s="6" t="s">
        <v>61</v>
      </c>
      <c r="D315" s="6" t="s">
        <v>63</v>
      </c>
      <c r="E315" s="6" t="s">
        <v>55</v>
      </c>
      <c r="F315" s="6" t="s">
        <v>17</v>
      </c>
      <c r="G315" s="6" t="s">
        <v>18</v>
      </c>
      <c r="H315" s="7">
        <v>45236.0</v>
      </c>
      <c r="I315" s="8">
        <v>211.0</v>
      </c>
      <c r="J315" s="8">
        <v>119.26</v>
      </c>
      <c r="K315" s="8">
        <v>299.39</v>
      </c>
      <c r="L315" s="27">
        <f t="shared" si="1"/>
        <v>25163.86</v>
      </c>
      <c r="M315" s="27">
        <f t="shared" si="2"/>
        <v>-38007.43</v>
      </c>
      <c r="N315" s="27">
        <f t="shared" si="3"/>
        <v>41</v>
      </c>
    </row>
    <row r="316">
      <c r="B316" s="6" t="s">
        <v>352</v>
      </c>
      <c r="C316" s="6" t="s">
        <v>20</v>
      </c>
      <c r="D316" s="6" t="s">
        <v>21</v>
      </c>
      <c r="E316" s="6" t="s">
        <v>32</v>
      </c>
      <c r="F316" s="6" t="s">
        <v>17</v>
      </c>
      <c r="G316" s="6" t="s">
        <v>33</v>
      </c>
      <c r="H316" s="7">
        <v>45237.0</v>
      </c>
      <c r="I316" s="8">
        <v>433.0</v>
      </c>
      <c r="J316" s="8">
        <v>231.15</v>
      </c>
      <c r="K316" s="8">
        <v>296.51</v>
      </c>
      <c r="L316" s="27">
        <f t="shared" si="1"/>
        <v>100087.95</v>
      </c>
      <c r="M316" s="27">
        <f t="shared" si="2"/>
        <v>-28300.88</v>
      </c>
      <c r="N316" s="27">
        <f t="shared" si="3"/>
        <v>40</v>
      </c>
    </row>
    <row r="317">
      <c r="B317" s="6" t="s">
        <v>353</v>
      </c>
      <c r="C317" s="6" t="s">
        <v>14</v>
      </c>
      <c r="D317" s="6" t="s">
        <v>63</v>
      </c>
      <c r="E317" s="6" t="s">
        <v>16</v>
      </c>
      <c r="F317" s="6" t="s">
        <v>28</v>
      </c>
      <c r="G317" s="6" t="s">
        <v>23</v>
      </c>
      <c r="H317" s="7">
        <v>45238.0</v>
      </c>
      <c r="I317" s="8">
        <v>425.0</v>
      </c>
      <c r="J317" s="8">
        <v>99.21</v>
      </c>
      <c r="K317" s="8">
        <v>380.22</v>
      </c>
      <c r="L317" s="27">
        <f t="shared" si="1"/>
        <v>42164.25</v>
      </c>
      <c r="M317" s="27">
        <f t="shared" si="2"/>
        <v>-119429.25</v>
      </c>
      <c r="N317" s="27">
        <f t="shared" si="3"/>
        <v>39</v>
      </c>
    </row>
    <row r="318">
      <c r="B318" s="6" t="s">
        <v>354</v>
      </c>
      <c r="C318" s="6" t="s">
        <v>20</v>
      </c>
      <c r="D318" s="6" t="s">
        <v>63</v>
      </c>
      <c r="E318" s="6" t="s">
        <v>27</v>
      </c>
      <c r="F318" s="6" t="s">
        <v>28</v>
      </c>
      <c r="G318" s="6" t="s">
        <v>33</v>
      </c>
      <c r="H318" s="7">
        <v>45239.0</v>
      </c>
      <c r="I318" s="8">
        <v>251.0</v>
      </c>
      <c r="J318" s="8">
        <v>30.91</v>
      </c>
      <c r="K318" s="8">
        <v>82.77</v>
      </c>
      <c r="L318" s="27">
        <f t="shared" si="1"/>
        <v>7758.41</v>
      </c>
      <c r="M318" s="27">
        <f t="shared" si="2"/>
        <v>-13016.86</v>
      </c>
      <c r="N318" s="27">
        <f t="shared" si="3"/>
        <v>38</v>
      </c>
    </row>
    <row r="319">
      <c r="B319" s="6" t="s">
        <v>355</v>
      </c>
      <c r="C319" s="6" t="s">
        <v>14</v>
      </c>
      <c r="D319" s="6" t="s">
        <v>31</v>
      </c>
      <c r="E319" s="6" t="s">
        <v>22</v>
      </c>
      <c r="F319" s="6" t="s">
        <v>17</v>
      </c>
      <c r="G319" s="6" t="s">
        <v>18</v>
      </c>
      <c r="H319" s="7">
        <v>45240.0</v>
      </c>
      <c r="I319" s="6"/>
      <c r="J319" s="8">
        <v>192.35</v>
      </c>
      <c r="K319" s="8">
        <v>227.09</v>
      </c>
      <c r="L319" s="27" t="str">
        <f t="shared" si="1"/>
        <v/>
      </c>
      <c r="M319" s="27" t="str">
        <f t="shared" si="2"/>
        <v/>
      </c>
      <c r="N319" s="27">
        <f t="shared" si="3"/>
        <v>37</v>
      </c>
    </row>
    <row r="320">
      <c r="B320" s="6" t="s">
        <v>356</v>
      </c>
      <c r="C320" s="6" t="s">
        <v>14</v>
      </c>
      <c r="D320" s="6" t="s">
        <v>31</v>
      </c>
      <c r="E320" s="6" t="s">
        <v>16</v>
      </c>
      <c r="F320" s="6" t="s">
        <v>17</v>
      </c>
      <c r="G320" s="6" t="s">
        <v>18</v>
      </c>
      <c r="H320" s="7">
        <v>45241.0</v>
      </c>
      <c r="I320" s="8">
        <v>11.0</v>
      </c>
      <c r="J320" s="8">
        <v>184.66</v>
      </c>
      <c r="K320" s="8">
        <v>391.9</v>
      </c>
      <c r="L320" s="27">
        <f t="shared" si="1"/>
        <v>2031.26</v>
      </c>
      <c r="M320" s="27">
        <f t="shared" si="2"/>
        <v>-2279.64</v>
      </c>
      <c r="N320" s="27">
        <f t="shared" si="3"/>
        <v>36</v>
      </c>
    </row>
    <row r="321">
      <c r="B321" s="6" t="s">
        <v>357</v>
      </c>
      <c r="C321" s="6" t="s">
        <v>20</v>
      </c>
      <c r="D321" s="6" t="s">
        <v>31</v>
      </c>
      <c r="E321" s="6" t="s">
        <v>27</v>
      </c>
      <c r="F321" s="6" t="s">
        <v>17</v>
      </c>
      <c r="G321" s="6" t="s">
        <v>33</v>
      </c>
      <c r="H321" s="7">
        <v>45242.0</v>
      </c>
      <c r="I321" s="8">
        <v>234.0</v>
      </c>
      <c r="J321" s="8">
        <v>497.76</v>
      </c>
      <c r="K321" s="8">
        <v>67.79</v>
      </c>
      <c r="L321" s="27">
        <f t="shared" si="1"/>
        <v>116475.84</v>
      </c>
      <c r="M321" s="27">
        <f t="shared" si="2"/>
        <v>100612.98</v>
      </c>
      <c r="N321" s="27">
        <f t="shared" si="3"/>
        <v>35</v>
      </c>
    </row>
    <row r="322">
      <c r="B322" s="6" t="s">
        <v>358</v>
      </c>
      <c r="C322" s="6" t="s">
        <v>14</v>
      </c>
      <c r="D322" s="6" t="s">
        <v>63</v>
      </c>
      <c r="E322" s="6" t="s">
        <v>27</v>
      </c>
      <c r="F322" s="6" t="s">
        <v>17</v>
      </c>
      <c r="G322" s="6" t="s">
        <v>23</v>
      </c>
      <c r="H322" s="7">
        <v>45243.0</v>
      </c>
      <c r="I322" s="6"/>
      <c r="J322" s="8">
        <v>225.94</v>
      </c>
      <c r="K322" s="8">
        <v>280.7</v>
      </c>
      <c r="L322" s="27" t="str">
        <f t="shared" si="1"/>
        <v/>
      </c>
      <c r="M322" s="27" t="str">
        <f t="shared" si="2"/>
        <v/>
      </c>
      <c r="N322" s="27">
        <f t="shared" si="3"/>
        <v>34</v>
      </c>
    </row>
    <row r="323">
      <c r="B323" s="6" t="s">
        <v>359</v>
      </c>
      <c r="C323" s="6" t="s">
        <v>26</v>
      </c>
      <c r="D323" s="6" t="s">
        <v>39</v>
      </c>
      <c r="E323" s="6" t="s">
        <v>55</v>
      </c>
      <c r="F323" s="6" t="s">
        <v>17</v>
      </c>
      <c r="G323" s="6" t="s">
        <v>23</v>
      </c>
      <c r="H323" s="7">
        <v>45244.0</v>
      </c>
      <c r="I323" s="8">
        <v>242.0</v>
      </c>
      <c r="J323" s="8">
        <v>170.12</v>
      </c>
      <c r="K323" s="8">
        <v>235.15</v>
      </c>
      <c r="L323" s="27">
        <f t="shared" si="1"/>
        <v>41169.04</v>
      </c>
      <c r="M323" s="27">
        <f t="shared" si="2"/>
        <v>-15737.26</v>
      </c>
      <c r="N323" s="27">
        <f t="shared" si="3"/>
        <v>33</v>
      </c>
    </row>
    <row r="324">
      <c r="B324" s="6" t="s">
        <v>360</v>
      </c>
      <c r="C324" s="6" t="s">
        <v>14</v>
      </c>
      <c r="D324" s="6" t="s">
        <v>63</v>
      </c>
      <c r="E324" s="6" t="s">
        <v>32</v>
      </c>
      <c r="F324" s="6" t="s">
        <v>17</v>
      </c>
      <c r="G324" s="6" t="s">
        <v>18</v>
      </c>
      <c r="H324" s="7">
        <v>45245.0</v>
      </c>
      <c r="I324" s="8">
        <v>470.0</v>
      </c>
      <c r="J324" s="8">
        <v>292.34</v>
      </c>
      <c r="K324" s="8">
        <v>235.42</v>
      </c>
      <c r="L324" s="27">
        <f t="shared" si="1"/>
        <v>137399.8</v>
      </c>
      <c r="M324" s="27">
        <f t="shared" si="2"/>
        <v>26752.4</v>
      </c>
      <c r="N324" s="27">
        <f t="shared" si="3"/>
        <v>32</v>
      </c>
    </row>
    <row r="325">
      <c r="B325" s="6" t="s">
        <v>361</v>
      </c>
      <c r="C325" s="6" t="s">
        <v>61</v>
      </c>
      <c r="D325" s="6" t="s">
        <v>39</v>
      </c>
      <c r="E325" s="6" t="s">
        <v>32</v>
      </c>
      <c r="F325" s="6" t="s">
        <v>28</v>
      </c>
      <c r="G325" s="6" t="s">
        <v>18</v>
      </c>
      <c r="H325" s="7">
        <v>45246.0</v>
      </c>
      <c r="I325" s="8">
        <v>423.0</v>
      </c>
      <c r="J325" s="8">
        <v>48.94</v>
      </c>
      <c r="K325" s="8">
        <v>279.67</v>
      </c>
      <c r="L325" s="27">
        <f t="shared" si="1"/>
        <v>20701.62</v>
      </c>
      <c r="M325" s="27">
        <f t="shared" si="2"/>
        <v>-97598.79</v>
      </c>
      <c r="N325" s="27">
        <f t="shared" si="3"/>
        <v>31</v>
      </c>
    </row>
    <row r="326">
      <c r="B326" s="6" t="s">
        <v>362</v>
      </c>
      <c r="C326" s="6" t="s">
        <v>20</v>
      </c>
      <c r="D326" s="6" t="s">
        <v>39</v>
      </c>
      <c r="E326" s="6" t="s">
        <v>16</v>
      </c>
      <c r="F326" s="6" t="s">
        <v>17</v>
      </c>
      <c r="G326" s="6" t="s">
        <v>23</v>
      </c>
      <c r="H326" s="7">
        <v>45247.0</v>
      </c>
      <c r="I326" s="8">
        <v>426.0</v>
      </c>
      <c r="J326" s="8">
        <v>481.02</v>
      </c>
      <c r="K326" s="8">
        <v>371.99</v>
      </c>
      <c r="L326" s="27">
        <f t="shared" si="1"/>
        <v>204914.52</v>
      </c>
      <c r="M326" s="27">
        <f t="shared" si="2"/>
        <v>46446.78</v>
      </c>
      <c r="N326" s="27">
        <f t="shared" si="3"/>
        <v>30</v>
      </c>
    </row>
    <row r="327">
      <c r="B327" s="6" t="s">
        <v>363</v>
      </c>
      <c r="C327" s="6" t="s">
        <v>26</v>
      </c>
      <c r="D327" s="6" t="s">
        <v>31</v>
      </c>
      <c r="E327" s="6" t="s">
        <v>32</v>
      </c>
      <c r="F327" s="6" t="s">
        <v>28</v>
      </c>
      <c r="G327" s="6" t="s">
        <v>33</v>
      </c>
      <c r="H327" s="7">
        <v>45248.0</v>
      </c>
      <c r="I327" s="8">
        <v>86.0</v>
      </c>
      <c r="J327" s="8">
        <v>319.31</v>
      </c>
      <c r="K327" s="8">
        <v>313.47</v>
      </c>
      <c r="L327" s="27">
        <f t="shared" si="1"/>
        <v>27460.66</v>
      </c>
      <c r="M327" s="27">
        <f t="shared" si="2"/>
        <v>502.24</v>
      </c>
      <c r="N327" s="27">
        <f t="shared" si="3"/>
        <v>29</v>
      </c>
    </row>
    <row r="328">
      <c r="B328" s="6" t="s">
        <v>364</v>
      </c>
      <c r="C328" s="6" t="s">
        <v>20</v>
      </c>
      <c r="D328" s="6" t="s">
        <v>15</v>
      </c>
      <c r="E328" s="6" t="s">
        <v>22</v>
      </c>
      <c r="F328" s="6" t="s">
        <v>28</v>
      </c>
      <c r="G328" s="6" t="s">
        <v>18</v>
      </c>
      <c r="H328" s="7">
        <v>45249.0</v>
      </c>
      <c r="I328" s="8">
        <v>125.0</v>
      </c>
      <c r="J328" s="8">
        <v>378.64</v>
      </c>
      <c r="K328" s="8">
        <v>24.34</v>
      </c>
      <c r="L328" s="27">
        <f t="shared" si="1"/>
        <v>47330</v>
      </c>
      <c r="M328" s="27">
        <f t="shared" si="2"/>
        <v>44287.5</v>
      </c>
      <c r="N328" s="27">
        <f t="shared" si="3"/>
        <v>28</v>
      </c>
    </row>
    <row r="329">
      <c r="B329" s="6" t="s">
        <v>365</v>
      </c>
      <c r="C329" s="6" t="s">
        <v>61</v>
      </c>
      <c r="D329" s="6" t="s">
        <v>21</v>
      </c>
      <c r="E329" s="6"/>
      <c r="F329" s="6" t="s">
        <v>17</v>
      </c>
      <c r="G329" s="6" t="s">
        <v>18</v>
      </c>
      <c r="H329" s="7">
        <v>45250.0</v>
      </c>
      <c r="I329" s="8">
        <v>163.0</v>
      </c>
      <c r="J329" s="8">
        <v>89.39</v>
      </c>
      <c r="K329" s="8">
        <v>341.39</v>
      </c>
      <c r="L329" s="27">
        <f t="shared" si="1"/>
        <v>14570.57</v>
      </c>
      <c r="M329" s="27">
        <f t="shared" si="2"/>
        <v>-41076</v>
      </c>
      <c r="N329" s="27">
        <f t="shared" si="3"/>
        <v>27</v>
      </c>
    </row>
    <row r="330">
      <c r="B330" s="6" t="s">
        <v>366</v>
      </c>
      <c r="C330" s="6" t="s">
        <v>61</v>
      </c>
      <c r="D330" s="6" t="s">
        <v>31</v>
      </c>
      <c r="E330" s="6" t="s">
        <v>16</v>
      </c>
      <c r="F330" s="6" t="s">
        <v>28</v>
      </c>
      <c r="G330" s="6" t="s">
        <v>23</v>
      </c>
      <c r="H330" s="7">
        <v>45251.0</v>
      </c>
      <c r="I330" s="8">
        <v>415.0</v>
      </c>
      <c r="J330" s="8">
        <v>207.69</v>
      </c>
      <c r="K330" s="8">
        <v>91.77</v>
      </c>
      <c r="L330" s="27">
        <f t="shared" si="1"/>
        <v>86191.35</v>
      </c>
      <c r="M330" s="27">
        <f t="shared" si="2"/>
        <v>48106.8</v>
      </c>
      <c r="N330" s="27">
        <f t="shared" si="3"/>
        <v>26</v>
      </c>
    </row>
    <row r="331">
      <c r="B331" s="6" t="s">
        <v>367</v>
      </c>
      <c r="C331" s="6" t="s">
        <v>61</v>
      </c>
      <c r="D331" s="6" t="s">
        <v>31</v>
      </c>
      <c r="E331" s="6" t="s">
        <v>32</v>
      </c>
      <c r="F331" s="6" t="s">
        <v>28</v>
      </c>
      <c r="G331" s="6" t="s">
        <v>33</v>
      </c>
      <c r="H331" s="7">
        <v>45252.0</v>
      </c>
      <c r="I331" s="8">
        <v>112.0</v>
      </c>
      <c r="J331" s="8">
        <v>214.23</v>
      </c>
      <c r="K331" s="8">
        <v>152.01</v>
      </c>
      <c r="L331" s="27">
        <f t="shared" si="1"/>
        <v>23993.76</v>
      </c>
      <c r="M331" s="27">
        <f t="shared" si="2"/>
        <v>6968.64</v>
      </c>
      <c r="N331" s="27">
        <f t="shared" si="3"/>
        <v>25</v>
      </c>
    </row>
    <row r="332">
      <c r="B332" s="6" t="s">
        <v>368</v>
      </c>
      <c r="C332" s="6" t="s">
        <v>14</v>
      </c>
      <c r="D332" s="6" t="s">
        <v>15</v>
      </c>
      <c r="E332" s="6" t="s">
        <v>22</v>
      </c>
      <c r="F332" s="6" t="s">
        <v>28</v>
      </c>
      <c r="G332" s="6" t="s">
        <v>23</v>
      </c>
      <c r="H332" s="7">
        <v>45253.0</v>
      </c>
      <c r="I332" s="8">
        <v>203.0</v>
      </c>
      <c r="J332" s="8">
        <v>411.79</v>
      </c>
      <c r="K332" s="8">
        <v>185.77</v>
      </c>
      <c r="L332" s="27">
        <f t="shared" si="1"/>
        <v>83593.37</v>
      </c>
      <c r="M332" s="27">
        <f t="shared" si="2"/>
        <v>45882.06</v>
      </c>
      <c r="N332" s="27">
        <f t="shared" si="3"/>
        <v>24</v>
      </c>
    </row>
    <row r="333">
      <c r="B333" s="6" t="s">
        <v>369</v>
      </c>
      <c r="C333" s="6" t="s">
        <v>14</v>
      </c>
      <c r="D333" s="6" t="s">
        <v>21</v>
      </c>
      <c r="E333" s="6" t="s">
        <v>55</v>
      </c>
      <c r="F333" s="6" t="s">
        <v>28</v>
      </c>
      <c r="G333" s="6" t="s">
        <v>33</v>
      </c>
      <c r="H333" s="7">
        <v>45254.0</v>
      </c>
      <c r="I333" s="6"/>
      <c r="J333" s="8">
        <v>5.61</v>
      </c>
      <c r="K333" s="8">
        <v>193.4</v>
      </c>
      <c r="L333" s="27" t="str">
        <f t="shared" si="1"/>
        <v/>
      </c>
      <c r="M333" s="27" t="str">
        <f t="shared" si="2"/>
        <v/>
      </c>
      <c r="N333" s="27">
        <f t="shared" si="3"/>
        <v>23</v>
      </c>
    </row>
    <row r="334">
      <c r="B334" s="6" t="s">
        <v>370</v>
      </c>
      <c r="C334" s="6" t="s">
        <v>20</v>
      </c>
      <c r="D334" s="6" t="s">
        <v>63</v>
      </c>
      <c r="E334" s="6" t="s">
        <v>16</v>
      </c>
      <c r="F334" s="6" t="s">
        <v>28</v>
      </c>
      <c r="G334" s="6" t="s">
        <v>33</v>
      </c>
      <c r="H334" s="7">
        <v>45255.0</v>
      </c>
      <c r="I334" s="8">
        <v>368.0</v>
      </c>
      <c r="J334" s="8">
        <v>153.92</v>
      </c>
      <c r="K334" s="8">
        <v>175.2</v>
      </c>
      <c r="L334" s="27">
        <f t="shared" si="1"/>
        <v>56642.56</v>
      </c>
      <c r="M334" s="27">
        <f t="shared" si="2"/>
        <v>-7831.04</v>
      </c>
      <c r="N334" s="27">
        <f t="shared" si="3"/>
        <v>22</v>
      </c>
    </row>
    <row r="335">
      <c r="B335" s="6" t="s">
        <v>371</v>
      </c>
      <c r="C335" s="6" t="s">
        <v>20</v>
      </c>
      <c r="D335" s="6" t="s">
        <v>63</v>
      </c>
      <c r="E335" s="6" t="s">
        <v>55</v>
      </c>
      <c r="F335" s="6" t="s">
        <v>28</v>
      </c>
      <c r="G335" s="6" t="s">
        <v>33</v>
      </c>
      <c r="H335" s="7">
        <v>45256.0</v>
      </c>
      <c r="I335" s="8">
        <v>99.0</v>
      </c>
      <c r="J335" s="8">
        <v>490.71</v>
      </c>
      <c r="K335" s="8">
        <v>375.07</v>
      </c>
      <c r="L335" s="27">
        <f t="shared" si="1"/>
        <v>48580.29</v>
      </c>
      <c r="M335" s="27">
        <f t="shared" si="2"/>
        <v>11448.36</v>
      </c>
      <c r="N335" s="27">
        <f t="shared" si="3"/>
        <v>21</v>
      </c>
    </row>
    <row r="336">
      <c r="B336" s="6" t="s">
        <v>372</v>
      </c>
      <c r="C336" s="6" t="s">
        <v>26</v>
      </c>
      <c r="D336" s="6" t="s">
        <v>31</v>
      </c>
      <c r="E336" s="6" t="s">
        <v>55</v>
      </c>
      <c r="F336" s="6" t="s">
        <v>17</v>
      </c>
      <c r="G336" s="6" t="s">
        <v>18</v>
      </c>
      <c r="H336" s="7">
        <v>45257.0</v>
      </c>
      <c r="I336" s="8">
        <v>183.0</v>
      </c>
      <c r="J336" s="8">
        <v>240.07</v>
      </c>
      <c r="K336" s="8">
        <v>283.0</v>
      </c>
      <c r="L336" s="27">
        <f t="shared" si="1"/>
        <v>43932.81</v>
      </c>
      <c r="M336" s="27">
        <f t="shared" si="2"/>
        <v>-7856.19</v>
      </c>
      <c r="N336" s="27">
        <f t="shared" si="3"/>
        <v>20</v>
      </c>
    </row>
    <row r="337">
      <c r="B337" s="6" t="s">
        <v>373</v>
      </c>
      <c r="C337" s="6"/>
      <c r="D337" s="6" t="s">
        <v>21</v>
      </c>
      <c r="E337" s="6" t="s">
        <v>55</v>
      </c>
      <c r="F337" s="6" t="s">
        <v>28</v>
      </c>
      <c r="G337" s="6" t="s">
        <v>23</v>
      </c>
      <c r="H337" s="7">
        <v>45258.0</v>
      </c>
      <c r="I337" s="8">
        <v>131.0</v>
      </c>
      <c r="J337" s="8">
        <v>194.35</v>
      </c>
      <c r="K337" s="8">
        <v>253.21</v>
      </c>
      <c r="L337" s="27">
        <f t="shared" si="1"/>
        <v>25459.85</v>
      </c>
      <c r="M337" s="27">
        <f t="shared" si="2"/>
        <v>-7710.66</v>
      </c>
      <c r="N337" s="27">
        <f t="shared" si="3"/>
        <v>19</v>
      </c>
    </row>
    <row r="338">
      <c r="B338" s="6" t="s">
        <v>374</v>
      </c>
      <c r="C338" s="6" t="s">
        <v>20</v>
      </c>
      <c r="D338" s="6" t="s">
        <v>31</v>
      </c>
      <c r="E338" s="6" t="s">
        <v>27</v>
      </c>
      <c r="F338" s="6" t="s">
        <v>28</v>
      </c>
      <c r="G338" s="6" t="s">
        <v>23</v>
      </c>
      <c r="H338" s="7">
        <v>45259.0</v>
      </c>
      <c r="I338" s="8">
        <v>152.0</v>
      </c>
      <c r="J338" s="8">
        <v>64.32</v>
      </c>
      <c r="K338" s="8">
        <v>21.84</v>
      </c>
      <c r="L338" s="27">
        <f t="shared" si="1"/>
        <v>9776.64</v>
      </c>
      <c r="M338" s="27">
        <f t="shared" si="2"/>
        <v>6456.96</v>
      </c>
      <c r="N338" s="27">
        <f t="shared" si="3"/>
        <v>18</v>
      </c>
    </row>
    <row r="339">
      <c r="B339" s="6" t="s">
        <v>375</v>
      </c>
      <c r="C339" s="6" t="s">
        <v>14</v>
      </c>
      <c r="D339" s="6" t="s">
        <v>39</v>
      </c>
      <c r="E339" s="6" t="s">
        <v>27</v>
      </c>
      <c r="F339" s="6" t="s">
        <v>28</v>
      </c>
      <c r="G339" s="6" t="s">
        <v>33</v>
      </c>
      <c r="H339" s="7">
        <v>45260.0</v>
      </c>
      <c r="I339" s="8">
        <v>491.0</v>
      </c>
      <c r="J339" s="8">
        <v>487.21</v>
      </c>
      <c r="K339" s="8">
        <v>361.76</v>
      </c>
      <c r="L339" s="27">
        <f t="shared" si="1"/>
        <v>239220.11</v>
      </c>
      <c r="M339" s="27">
        <f t="shared" si="2"/>
        <v>61595.95</v>
      </c>
      <c r="N339" s="27">
        <f t="shared" si="3"/>
        <v>17</v>
      </c>
    </row>
    <row r="340">
      <c r="B340" s="6" t="s">
        <v>376</v>
      </c>
      <c r="C340" s="6" t="s">
        <v>61</v>
      </c>
      <c r="D340" s="6" t="s">
        <v>31</v>
      </c>
      <c r="E340" s="6" t="s">
        <v>55</v>
      </c>
      <c r="F340" s="6" t="s">
        <v>17</v>
      </c>
      <c r="G340" s="6" t="s">
        <v>18</v>
      </c>
      <c r="H340" s="7">
        <v>45261.0</v>
      </c>
      <c r="I340" s="8">
        <v>115.0</v>
      </c>
      <c r="J340" s="8">
        <v>14.91</v>
      </c>
      <c r="K340" s="8">
        <v>363.94</v>
      </c>
      <c r="L340" s="27">
        <f t="shared" si="1"/>
        <v>1714.65</v>
      </c>
      <c r="M340" s="27">
        <f t="shared" si="2"/>
        <v>-40138.45</v>
      </c>
      <c r="N340" s="27">
        <f t="shared" si="3"/>
        <v>16</v>
      </c>
    </row>
    <row r="341">
      <c r="B341" s="6" t="s">
        <v>377</v>
      </c>
      <c r="C341" s="6" t="s">
        <v>20</v>
      </c>
      <c r="D341" s="6" t="s">
        <v>31</v>
      </c>
      <c r="E341" s="6" t="s">
        <v>16</v>
      </c>
      <c r="F341" s="6" t="s">
        <v>28</v>
      </c>
      <c r="G341" s="6" t="s">
        <v>18</v>
      </c>
      <c r="H341" s="7">
        <v>45262.0</v>
      </c>
      <c r="I341" s="8">
        <v>384.0</v>
      </c>
      <c r="J341" s="8">
        <v>369.9</v>
      </c>
      <c r="K341" s="8">
        <v>312.52</v>
      </c>
      <c r="L341" s="27">
        <f t="shared" si="1"/>
        <v>142041.6</v>
      </c>
      <c r="M341" s="27">
        <f t="shared" si="2"/>
        <v>22033.92</v>
      </c>
      <c r="N341" s="27">
        <f t="shared" si="3"/>
        <v>15</v>
      </c>
    </row>
    <row r="342">
      <c r="B342" s="6" t="s">
        <v>378</v>
      </c>
      <c r="C342" s="6" t="s">
        <v>26</v>
      </c>
      <c r="D342" s="6" t="s">
        <v>63</v>
      </c>
      <c r="E342" s="6" t="s">
        <v>22</v>
      </c>
      <c r="F342" s="6" t="s">
        <v>17</v>
      </c>
      <c r="G342" s="6" t="s">
        <v>23</v>
      </c>
      <c r="H342" s="7">
        <v>45263.0</v>
      </c>
      <c r="I342" s="8">
        <v>437.0</v>
      </c>
      <c r="J342" s="8">
        <v>385.46</v>
      </c>
      <c r="K342" s="8">
        <v>4.8</v>
      </c>
      <c r="L342" s="27">
        <f t="shared" si="1"/>
        <v>168446.02</v>
      </c>
      <c r="M342" s="27">
        <f t="shared" si="2"/>
        <v>166348.42</v>
      </c>
      <c r="N342" s="27">
        <f t="shared" si="3"/>
        <v>14</v>
      </c>
    </row>
    <row r="343">
      <c r="B343" s="6" t="s">
        <v>379</v>
      </c>
      <c r="C343" s="6" t="s">
        <v>14</v>
      </c>
      <c r="D343" s="6" t="s">
        <v>63</v>
      </c>
      <c r="E343" s="6" t="s">
        <v>22</v>
      </c>
      <c r="F343" s="6" t="s">
        <v>28</v>
      </c>
      <c r="G343" s="6" t="s">
        <v>18</v>
      </c>
      <c r="H343" s="7">
        <v>45264.0</v>
      </c>
      <c r="I343" s="8">
        <v>314.0</v>
      </c>
      <c r="J343" s="8">
        <v>125.61</v>
      </c>
      <c r="K343" s="8">
        <v>24.8</v>
      </c>
      <c r="L343" s="27">
        <f t="shared" si="1"/>
        <v>39441.54</v>
      </c>
      <c r="M343" s="27">
        <f t="shared" si="2"/>
        <v>31654.34</v>
      </c>
      <c r="N343" s="27">
        <f t="shared" si="3"/>
        <v>13</v>
      </c>
    </row>
    <row r="344">
      <c r="B344" s="6" t="s">
        <v>380</v>
      </c>
      <c r="C344" s="6" t="s">
        <v>20</v>
      </c>
      <c r="D344" s="6" t="s">
        <v>63</v>
      </c>
      <c r="E344" s="6" t="s">
        <v>32</v>
      </c>
      <c r="F344" s="6" t="s">
        <v>17</v>
      </c>
      <c r="G344" s="6" t="s">
        <v>18</v>
      </c>
      <c r="H344" s="7">
        <v>45265.0</v>
      </c>
      <c r="I344" s="8">
        <v>369.0</v>
      </c>
      <c r="J344" s="8">
        <v>337.42</v>
      </c>
      <c r="K344" s="8">
        <v>91.64</v>
      </c>
      <c r="L344" s="27">
        <f t="shared" si="1"/>
        <v>124507.98</v>
      </c>
      <c r="M344" s="27">
        <f t="shared" si="2"/>
        <v>90692.82</v>
      </c>
      <c r="N344" s="27">
        <f t="shared" si="3"/>
        <v>12</v>
      </c>
    </row>
    <row r="345">
      <c r="B345" s="6" t="s">
        <v>381</v>
      </c>
      <c r="C345" s="6" t="s">
        <v>20</v>
      </c>
      <c r="D345" s="6" t="s">
        <v>39</v>
      </c>
      <c r="E345" s="6" t="s">
        <v>16</v>
      </c>
      <c r="F345" s="6" t="s">
        <v>17</v>
      </c>
      <c r="G345" s="6" t="s">
        <v>33</v>
      </c>
      <c r="H345" s="7">
        <v>45266.0</v>
      </c>
      <c r="I345" s="8">
        <v>468.0</v>
      </c>
      <c r="J345" s="8">
        <v>51.0</v>
      </c>
      <c r="K345" s="8">
        <v>54.28</v>
      </c>
      <c r="L345" s="27">
        <f t="shared" si="1"/>
        <v>23868</v>
      </c>
      <c r="M345" s="27">
        <f t="shared" si="2"/>
        <v>-1535.04</v>
      </c>
      <c r="N345" s="27">
        <f t="shared" si="3"/>
        <v>11</v>
      </c>
    </row>
    <row r="346">
      <c r="B346" s="6" t="s">
        <v>382</v>
      </c>
      <c r="C346" s="6" t="s">
        <v>14</v>
      </c>
      <c r="D346" s="6" t="s">
        <v>63</v>
      </c>
      <c r="E346" s="6" t="s">
        <v>27</v>
      </c>
      <c r="F346" s="6" t="s">
        <v>28</v>
      </c>
      <c r="G346" s="6" t="s">
        <v>18</v>
      </c>
      <c r="H346" s="7">
        <v>45267.0</v>
      </c>
      <c r="I346" s="8">
        <v>326.0</v>
      </c>
      <c r="J346" s="8">
        <v>132.24</v>
      </c>
      <c r="K346" s="8">
        <v>160.74</v>
      </c>
      <c r="L346" s="27">
        <f t="shared" si="1"/>
        <v>43110.24</v>
      </c>
      <c r="M346" s="27">
        <f t="shared" si="2"/>
        <v>-9291</v>
      </c>
      <c r="N346" s="27">
        <f t="shared" si="3"/>
        <v>10</v>
      </c>
    </row>
    <row r="347">
      <c r="B347" s="6" t="s">
        <v>383</v>
      </c>
      <c r="C347" s="6" t="s">
        <v>20</v>
      </c>
      <c r="D347" s="6" t="s">
        <v>21</v>
      </c>
      <c r="E347" s="6" t="s">
        <v>55</v>
      </c>
      <c r="F347" s="6" t="s">
        <v>28</v>
      </c>
      <c r="G347" s="6" t="s">
        <v>33</v>
      </c>
      <c r="H347" s="7">
        <v>45268.0</v>
      </c>
      <c r="I347" s="8">
        <v>460.0</v>
      </c>
      <c r="J347" s="8">
        <v>395.01</v>
      </c>
      <c r="K347" s="8">
        <v>369.2</v>
      </c>
      <c r="L347" s="27">
        <f t="shared" si="1"/>
        <v>181704.6</v>
      </c>
      <c r="M347" s="27">
        <f t="shared" si="2"/>
        <v>11872.6</v>
      </c>
      <c r="N347" s="27">
        <f t="shared" si="3"/>
        <v>9</v>
      </c>
    </row>
    <row r="348">
      <c r="B348" s="6" t="s">
        <v>384</v>
      </c>
      <c r="C348" s="6" t="s">
        <v>14</v>
      </c>
      <c r="D348" s="6" t="s">
        <v>15</v>
      </c>
      <c r="E348" s="6" t="s">
        <v>32</v>
      </c>
      <c r="F348" s="6" t="s">
        <v>17</v>
      </c>
      <c r="G348" s="6" t="s">
        <v>23</v>
      </c>
      <c r="H348" s="7">
        <v>45269.0</v>
      </c>
      <c r="I348" s="8">
        <v>132.0</v>
      </c>
      <c r="J348" s="8">
        <v>433.02</v>
      </c>
      <c r="K348" s="8">
        <v>189.88</v>
      </c>
      <c r="L348" s="27">
        <f t="shared" si="1"/>
        <v>57158.64</v>
      </c>
      <c r="M348" s="27">
        <f t="shared" si="2"/>
        <v>32094.48</v>
      </c>
      <c r="N348" s="27">
        <f t="shared" si="3"/>
        <v>8</v>
      </c>
    </row>
    <row r="349">
      <c r="B349" s="6" t="s">
        <v>385</v>
      </c>
      <c r="C349" s="6" t="s">
        <v>61</v>
      </c>
      <c r="D349" s="6" t="s">
        <v>21</v>
      </c>
      <c r="E349" s="6" t="s">
        <v>22</v>
      </c>
      <c r="F349" s="6" t="s">
        <v>28</v>
      </c>
      <c r="G349" s="6" t="s">
        <v>18</v>
      </c>
      <c r="H349" s="7">
        <v>45270.0</v>
      </c>
      <c r="I349" s="8">
        <v>399.0</v>
      </c>
      <c r="J349" s="8">
        <v>306.2</v>
      </c>
      <c r="K349" s="8">
        <v>7.33</v>
      </c>
      <c r="L349" s="27">
        <f t="shared" si="1"/>
        <v>122173.8</v>
      </c>
      <c r="M349" s="27">
        <f t="shared" si="2"/>
        <v>119249.13</v>
      </c>
      <c r="N349" s="27">
        <f t="shared" si="3"/>
        <v>7</v>
      </c>
    </row>
    <row r="350">
      <c r="B350" s="6" t="s">
        <v>386</v>
      </c>
      <c r="C350" s="6" t="s">
        <v>14</v>
      </c>
      <c r="D350" s="6" t="s">
        <v>21</v>
      </c>
      <c r="E350" s="6" t="s">
        <v>27</v>
      </c>
      <c r="F350" s="6" t="s">
        <v>17</v>
      </c>
      <c r="G350" s="6" t="s">
        <v>23</v>
      </c>
      <c r="H350" s="7">
        <v>45271.0</v>
      </c>
      <c r="I350" s="8">
        <v>18.0</v>
      </c>
      <c r="J350" s="8">
        <v>255.89</v>
      </c>
      <c r="K350" s="8">
        <v>114.53</v>
      </c>
      <c r="L350" s="27">
        <f t="shared" si="1"/>
        <v>4606.02</v>
      </c>
      <c r="M350" s="27">
        <f t="shared" si="2"/>
        <v>2544.48</v>
      </c>
      <c r="N350" s="27">
        <f t="shared" si="3"/>
        <v>6</v>
      </c>
    </row>
    <row r="351">
      <c r="B351" s="6" t="s">
        <v>387</v>
      </c>
      <c r="C351" s="6" t="s">
        <v>14</v>
      </c>
      <c r="D351" s="6" t="s">
        <v>63</v>
      </c>
      <c r="E351" s="6" t="s">
        <v>27</v>
      </c>
      <c r="F351" s="6" t="s">
        <v>17</v>
      </c>
      <c r="G351" s="6" t="s">
        <v>23</v>
      </c>
      <c r="H351" s="7">
        <v>45272.0</v>
      </c>
      <c r="I351" s="8">
        <v>271.0</v>
      </c>
      <c r="J351" s="8">
        <v>83.86</v>
      </c>
      <c r="K351" s="8">
        <v>19.75</v>
      </c>
      <c r="L351" s="27">
        <f t="shared" si="1"/>
        <v>22726.06</v>
      </c>
      <c r="M351" s="27">
        <f t="shared" si="2"/>
        <v>17373.81</v>
      </c>
      <c r="N351" s="27">
        <f t="shared" si="3"/>
        <v>5</v>
      </c>
    </row>
    <row r="352">
      <c r="B352" s="6" t="s">
        <v>388</v>
      </c>
      <c r="C352" s="6"/>
      <c r="D352" s="6" t="s">
        <v>15</v>
      </c>
      <c r="E352" s="6" t="s">
        <v>55</v>
      </c>
      <c r="F352" s="6" t="s">
        <v>17</v>
      </c>
      <c r="G352" s="6" t="s">
        <v>18</v>
      </c>
      <c r="H352" s="7">
        <v>45273.0</v>
      </c>
      <c r="I352" s="8">
        <v>82.0</v>
      </c>
      <c r="J352" s="8">
        <v>36.24</v>
      </c>
      <c r="K352" s="8">
        <v>16.44</v>
      </c>
      <c r="L352" s="27">
        <f t="shared" si="1"/>
        <v>2971.68</v>
      </c>
      <c r="M352" s="27">
        <f t="shared" si="2"/>
        <v>1623.6</v>
      </c>
      <c r="N352" s="27">
        <f t="shared" si="3"/>
        <v>4</v>
      </c>
    </row>
    <row r="353">
      <c r="B353" s="6" t="s">
        <v>389</v>
      </c>
      <c r="C353" s="6" t="s">
        <v>20</v>
      </c>
      <c r="D353" s="6" t="s">
        <v>15</v>
      </c>
      <c r="E353" s="6" t="s">
        <v>22</v>
      </c>
      <c r="F353" s="6" t="s">
        <v>17</v>
      </c>
      <c r="G353" s="6" t="s">
        <v>18</v>
      </c>
      <c r="H353" s="7">
        <v>45274.0</v>
      </c>
      <c r="I353" s="8">
        <v>368.0</v>
      </c>
      <c r="J353" s="8">
        <v>63.24</v>
      </c>
      <c r="K353" s="8">
        <v>111.74</v>
      </c>
      <c r="L353" s="27">
        <f t="shared" si="1"/>
        <v>23272.32</v>
      </c>
      <c r="M353" s="27">
        <f t="shared" si="2"/>
        <v>-17848</v>
      </c>
      <c r="N353" s="27">
        <f t="shared" si="3"/>
        <v>3</v>
      </c>
    </row>
    <row r="354">
      <c r="B354" s="6" t="s">
        <v>390</v>
      </c>
      <c r="C354" s="6" t="s">
        <v>20</v>
      </c>
      <c r="D354" s="6" t="s">
        <v>15</v>
      </c>
      <c r="E354" s="6" t="s">
        <v>16</v>
      </c>
      <c r="F354" s="6" t="s">
        <v>17</v>
      </c>
      <c r="G354" s="6" t="s">
        <v>23</v>
      </c>
      <c r="H354" s="7">
        <v>45275.0</v>
      </c>
      <c r="I354" s="8">
        <v>232.0</v>
      </c>
      <c r="J354" s="8">
        <v>117.54</v>
      </c>
      <c r="K354" s="8">
        <v>111.69</v>
      </c>
      <c r="L354" s="27">
        <f t="shared" si="1"/>
        <v>27269.28</v>
      </c>
      <c r="M354" s="27">
        <f t="shared" si="2"/>
        <v>1357.2</v>
      </c>
      <c r="N354" s="27">
        <f t="shared" si="3"/>
        <v>2</v>
      </c>
    </row>
    <row r="355">
      <c r="B355" s="6" t="s">
        <v>391</v>
      </c>
      <c r="C355" s="6" t="s">
        <v>14</v>
      </c>
      <c r="D355" s="6" t="s">
        <v>39</v>
      </c>
      <c r="E355" s="6" t="s">
        <v>27</v>
      </c>
      <c r="F355" s="6" t="s">
        <v>28</v>
      </c>
      <c r="G355" s="6" t="s">
        <v>18</v>
      </c>
      <c r="H355" s="7">
        <v>45276.0</v>
      </c>
      <c r="I355" s="8">
        <v>425.0</v>
      </c>
      <c r="J355" s="8">
        <v>174.13</v>
      </c>
      <c r="K355" s="8">
        <v>315.28</v>
      </c>
      <c r="L355" s="27">
        <f t="shared" si="1"/>
        <v>74005.25</v>
      </c>
      <c r="M355" s="27">
        <f t="shared" si="2"/>
        <v>-59988.75</v>
      </c>
      <c r="N355" s="27">
        <f t="shared" si="3"/>
        <v>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5.13"/>
  </cols>
  <sheetData>
    <row r="1"/>
    <row r="2"/>
    <row r="3"/>
    <row r="4"/>
    <row r="5"/>
  </sheetData>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4.88"/>
  </cols>
  <sheetData>
    <row r="1"/>
    <row r="2"/>
    <row r="3"/>
    <row r="4"/>
    <row r="5"/>
    <row r="6"/>
  </sheetData>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63"/>
  </cols>
  <sheetData>
    <row r="1">
      <c r="A1" s="45"/>
      <c r="B1" s="45"/>
      <c r="C1" s="45"/>
      <c r="D1" s="45"/>
      <c r="E1" s="45"/>
      <c r="F1" s="45"/>
      <c r="G1" s="45"/>
    </row>
    <row r="2">
      <c r="A2" s="45"/>
      <c r="B2" s="46" t="s">
        <v>493</v>
      </c>
      <c r="C2" s="45"/>
      <c r="D2" s="45"/>
      <c r="E2" s="45"/>
      <c r="F2" s="45"/>
      <c r="G2" s="45"/>
    </row>
    <row r="3">
      <c r="A3" s="47"/>
      <c r="B3" s="48">
        <v>2.017796162E7</v>
      </c>
      <c r="C3" s="48">
        <v>4860695.69</v>
      </c>
      <c r="D3" s="49">
        <v>330.0</v>
      </c>
      <c r="E3" s="49" t="s">
        <v>494</v>
      </c>
      <c r="F3" s="47"/>
      <c r="G3" s="47"/>
    </row>
    <row r="4">
      <c r="A4" s="47"/>
      <c r="B4" s="47"/>
      <c r="C4" s="47"/>
      <c r="D4" s="47"/>
      <c r="E4" s="49" t="s">
        <v>495</v>
      </c>
      <c r="F4" s="49" t="s">
        <v>496</v>
      </c>
      <c r="G4" s="47"/>
    </row>
    <row r="5">
      <c r="A5" s="47"/>
      <c r="B5" s="47"/>
      <c r="C5" s="47"/>
      <c r="D5" s="47"/>
      <c r="E5" s="47"/>
      <c r="F5" s="47"/>
      <c r="G5" s="47"/>
    </row>
    <row r="6">
      <c r="A6" s="47"/>
      <c r="B6" s="47"/>
      <c r="C6" s="47"/>
      <c r="D6" s="47"/>
      <c r="E6" s="47"/>
      <c r="F6" s="47"/>
      <c r="G6" s="47"/>
    </row>
    <row r="29"/>
    <row r="30"/>
    <row r="31"/>
    <row r="32"/>
    <row r="33"/>
    <row r="34"/>
  </sheetData>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8" max="8" width="19.25"/>
    <col customWidth="1" min="9" max="9" width="19.38"/>
    <col customWidth="1" min="10" max="10" width="24.0"/>
    <col customWidth="1" min="11" max="11" width="30.13"/>
    <col customWidth="1" min="14" max="14" width="39.38"/>
    <col customWidth="1" min="15" max="15" width="24.25"/>
  </cols>
  <sheetData>
    <row r="3">
      <c r="A3" s="50" t="s">
        <v>497</v>
      </c>
      <c r="B3" s="50" t="s">
        <v>498</v>
      </c>
      <c r="C3" s="51"/>
      <c r="D3" s="51"/>
      <c r="E3" s="52"/>
      <c r="F3" s="52"/>
    </row>
    <row r="5">
      <c r="A5" s="5" t="s">
        <v>12</v>
      </c>
      <c r="B5" s="53" t="s">
        <v>499</v>
      </c>
      <c r="C5" s="54"/>
      <c r="D5" s="54"/>
      <c r="E5" s="54"/>
      <c r="F5" s="55"/>
      <c r="G5" s="56"/>
      <c r="H5" s="57" t="s">
        <v>500</v>
      </c>
      <c r="I5" s="56"/>
      <c r="J5" s="56"/>
      <c r="K5" s="56"/>
      <c r="L5" s="55"/>
      <c r="M5" s="55"/>
      <c r="N5" s="58" t="s">
        <v>501</v>
      </c>
      <c r="O5" s="59"/>
      <c r="P5" s="55"/>
      <c r="Q5" s="55"/>
      <c r="R5" s="55"/>
      <c r="S5" s="55"/>
      <c r="T5" s="55"/>
      <c r="U5" s="55"/>
      <c r="V5" s="55"/>
    </row>
    <row r="6">
      <c r="B6" s="60"/>
      <c r="C6" s="61"/>
      <c r="D6" s="61"/>
      <c r="E6" s="61"/>
      <c r="F6" s="55"/>
      <c r="G6" s="62"/>
      <c r="H6" s="63" t="s">
        <v>3</v>
      </c>
      <c r="I6" s="63" t="s">
        <v>502</v>
      </c>
      <c r="J6" s="63" t="s">
        <v>503</v>
      </c>
      <c r="K6" s="63" t="s">
        <v>504</v>
      </c>
      <c r="L6" s="55"/>
      <c r="M6" s="55"/>
      <c r="N6" s="64" t="s">
        <v>5</v>
      </c>
      <c r="O6" s="64" t="s">
        <v>505</v>
      </c>
      <c r="P6" s="55"/>
      <c r="Q6" s="55"/>
      <c r="R6" s="55"/>
      <c r="S6" s="55"/>
      <c r="T6" s="55"/>
      <c r="U6" s="55"/>
      <c r="V6" s="55"/>
    </row>
    <row r="7">
      <c r="B7" s="65" t="s">
        <v>506</v>
      </c>
      <c r="C7" s="61"/>
      <c r="D7" s="61"/>
      <c r="E7" s="61"/>
      <c r="F7" s="55"/>
      <c r="G7" s="62"/>
      <c r="H7" s="66" t="s">
        <v>14</v>
      </c>
      <c r="I7" s="19">
        <v>5785693.9</v>
      </c>
      <c r="J7" s="19">
        <v>13452.7856626506</v>
      </c>
      <c r="K7" s="19">
        <v>1116581.2099999997</v>
      </c>
      <c r="L7" s="55"/>
      <c r="M7" s="55"/>
      <c r="N7" s="67" t="s">
        <v>55</v>
      </c>
      <c r="O7" s="68">
        <v>0.201</v>
      </c>
      <c r="P7" s="55"/>
      <c r="Q7" s="55"/>
      <c r="R7" s="55"/>
      <c r="S7" s="55"/>
      <c r="T7" s="55"/>
      <c r="U7" s="55"/>
      <c r="V7" s="55"/>
    </row>
    <row r="8">
      <c r="B8" s="60"/>
      <c r="C8" s="61"/>
      <c r="D8" s="61"/>
      <c r="E8" s="61"/>
      <c r="F8" s="55"/>
      <c r="G8" s="62"/>
      <c r="H8" s="66" t="s">
        <v>26</v>
      </c>
      <c r="I8" s="19">
        <v>4735652.7700000005</v>
      </c>
      <c r="J8" s="19">
        <v>16029.959014084505</v>
      </c>
      <c r="K8" s="19">
        <v>1138127.0899999999</v>
      </c>
      <c r="L8" s="55"/>
      <c r="M8" s="55"/>
      <c r="N8" s="67" t="s">
        <v>32</v>
      </c>
      <c r="O8" s="68">
        <v>0.206</v>
      </c>
      <c r="P8" s="55"/>
      <c r="Q8" s="55"/>
      <c r="R8" s="55"/>
      <c r="S8" s="55"/>
      <c r="T8" s="55"/>
      <c r="U8" s="55"/>
      <c r="V8" s="55"/>
    </row>
    <row r="9">
      <c r="B9" s="65" t="s">
        <v>507</v>
      </c>
      <c r="C9" s="61"/>
      <c r="D9" s="61"/>
      <c r="E9" s="61"/>
      <c r="F9" s="55"/>
      <c r="G9" s="62"/>
      <c r="H9" s="66" t="s">
        <v>61</v>
      </c>
      <c r="I9" s="19">
        <v>3935753.6499999985</v>
      </c>
      <c r="J9" s="19">
        <v>21600.486086956527</v>
      </c>
      <c r="K9" s="19">
        <v>1490433.5400000005</v>
      </c>
      <c r="L9" s="55"/>
      <c r="M9" s="55"/>
      <c r="N9" s="67" t="s">
        <v>22</v>
      </c>
      <c r="O9" s="68">
        <v>0.183</v>
      </c>
      <c r="P9" s="55"/>
      <c r="Q9" s="55"/>
      <c r="R9" s="55"/>
      <c r="S9" s="55"/>
      <c r="T9" s="55"/>
      <c r="U9" s="55"/>
      <c r="V9" s="55"/>
    </row>
    <row r="10">
      <c r="B10" s="60"/>
      <c r="C10" s="61"/>
      <c r="D10" s="61"/>
      <c r="E10" s="61"/>
      <c r="F10" s="55"/>
      <c r="G10" s="62"/>
      <c r="H10" s="66" t="s">
        <v>20</v>
      </c>
      <c r="I10" s="19">
        <v>5720861.300000001</v>
      </c>
      <c r="J10" s="19">
        <v>12676.748295454541</v>
      </c>
      <c r="K10" s="19">
        <v>1115553.8499999996</v>
      </c>
      <c r="L10" s="55"/>
      <c r="M10" s="55"/>
      <c r="N10" s="67" t="s">
        <v>508</v>
      </c>
      <c r="O10" s="68">
        <v>0.237</v>
      </c>
      <c r="P10" s="55"/>
      <c r="Q10" s="55"/>
      <c r="R10" s="55"/>
      <c r="S10" s="55"/>
      <c r="T10" s="55"/>
      <c r="U10" s="55"/>
      <c r="V10" s="55"/>
    </row>
    <row r="11">
      <c r="B11" s="65" t="s">
        <v>509</v>
      </c>
      <c r="C11" s="61"/>
      <c r="D11" s="61"/>
      <c r="E11" s="61"/>
      <c r="F11" s="55"/>
      <c r="G11" s="55"/>
      <c r="H11" s="55"/>
      <c r="I11" s="55"/>
      <c r="J11" s="55"/>
      <c r="K11" s="55"/>
      <c r="L11" s="55"/>
      <c r="M11" s="55"/>
      <c r="N11" s="67" t="s">
        <v>27</v>
      </c>
      <c r="O11" s="68">
        <v>0.174</v>
      </c>
      <c r="P11" s="55"/>
      <c r="Q11" s="55"/>
      <c r="R11" s="55"/>
      <c r="S11" s="55"/>
      <c r="T11" s="55"/>
      <c r="U11" s="55"/>
      <c r="V11" s="55"/>
    </row>
    <row r="12">
      <c r="B12" s="60"/>
      <c r="C12" s="61"/>
      <c r="D12" s="61"/>
      <c r="E12" s="61"/>
      <c r="F12" s="55"/>
      <c r="G12" s="55"/>
      <c r="H12" s="55"/>
      <c r="I12" s="55"/>
      <c r="J12" s="55"/>
      <c r="K12" s="55"/>
      <c r="L12" s="55"/>
      <c r="M12" s="55"/>
      <c r="N12" s="55"/>
      <c r="O12" s="55"/>
      <c r="P12" s="55"/>
      <c r="Q12" s="55"/>
      <c r="R12" s="55"/>
      <c r="S12" s="55"/>
      <c r="T12" s="55"/>
      <c r="U12" s="55"/>
      <c r="V12" s="55"/>
    </row>
    <row r="13">
      <c r="B13" s="65" t="s">
        <v>510</v>
      </c>
      <c r="C13" s="61"/>
      <c r="D13" s="61"/>
      <c r="E13" s="61"/>
      <c r="F13" s="55"/>
      <c r="G13" s="55"/>
      <c r="H13" s="55"/>
      <c r="I13" s="55"/>
      <c r="J13" s="55"/>
      <c r="K13" s="55"/>
      <c r="L13" s="55"/>
      <c r="M13" s="55"/>
      <c r="N13" s="55"/>
      <c r="O13" s="55"/>
      <c r="P13" s="55"/>
      <c r="Q13" s="55"/>
      <c r="R13" s="55"/>
      <c r="S13" s="55"/>
      <c r="T13" s="55"/>
      <c r="U13" s="55"/>
      <c r="V13" s="55"/>
    </row>
    <row r="14">
      <c r="B14" s="61"/>
      <c r="C14" s="61"/>
      <c r="D14" s="61"/>
      <c r="E14" s="61"/>
      <c r="F14" s="55"/>
      <c r="G14" s="55"/>
      <c r="H14" s="55"/>
      <c r="I14" s="55"/>
      <c r="J14" s="55"/>
      <c r="K14" s="55"/>
      <c r="L14" s="55"/>
      <c r="M14" s="55"/>
      <c r="N14" s="55"/>
      <c r="O14" s="55"/>
      <c r="P14" s="55"/>
      <c r="Q14" s="55"/>
      <c r="R14" s="55"/>
      <c r="S14" s="55"/>
      <c r="T14" s="55"/>
      <c r="U14" s="55"/>
      <c r="V14" s="55"/>
    </row>
    <row r="15">
      <c r="B15" s="55"/>
      <c r="C15" s="55"/>
      <c r="D15" s="55"/>
      <c r="E15" s="55"/>
      <c r="F15" s="55"/>
      <c r="G15" s="55"/>
      <c r="H15" s="55"/>
      <c r="I15" s="55"/>
      <c r="J15" s="55"/>
      <c r="K15" s="55"/>
      <c r="L15" s="55"/>
      <c r="M15" s="55"/>
      <c r="N15" s="55"/>
      <c r="O15" s="55"/>
      <c r="P15" s="55"/>
      <c r="Q15" s="55"/>
      <c r="R15" s="55"/>
      <c r="S15" s="55"/>
      <c r="T15" s="55"/>
      <c r="U15" s="55"/>
      <c r="V15" s="55"/>
    </row>
    <row r="16">
      <c r="B16" s="55"/>
      <c r="C16" s="55"/>
      <c r="D16" s="55"/>
      <c r="E16" s="55"/>
      <c r="F16" s="55"/>
      <c r="G16" s="55"/>
      <c r="H16" s="55"/>
      <c r="I16" s="69"/>
      <c r="J16" s="69"/>
      <c r="K16" s="70"/>
      <c r="L16" s="55"/>
      <c r="M16" s="55"/>
      <c r="N16" s="55"/>
      <c r="O16" s="55"/>
      <c r="P16" s="55"/>
      <c r="Q16" s="55"/>
      <c r="R16" s="55"/>
      <c r="S16" s="55"/>
      <c r="T16" s="55"/>
      <c r="U16" s="55"/>
      <c r="V16" s="55"/>
    </row>
    <row r="17">
      <c r="A17" s="71"/>
      <c r="B17" s="72" t="s">
        <v>511</v>
      </c>
      <c r="C17" s="73"/>
      <c r="D17" s="73"/>
      <c r="E17" s="73"/>
      <c r="F17" s="73"/>
      <c r="G17" s="73"/>
      <c r="H17" s="55"/>
      <c r="I17" s="74" t="s">
        <v>512</v>
      </c>
      <c r="J17" s="69"/>
      <c r="K17" s="70"/>
      <c r="L17" s="55"/>
      <c r="M17" s="55"/>
      <c r="N17" s="55"/>
      <c r="O17" s="55"/>
      <c r="P17" s="55"/>
      <c r="Q17" s="55"/>
      <c r="R17" s="55"/>
      <c r="S17" s="55"/>
      <c r="T17" s="55"/>
      <c r="U17" s="55"/>
      <c r="V17" s="55"/>
    </row>
    <row r="18">
      <c r="B18" s="75"/>
      <c r="C18" s="55"/>
      <c r="D18" s="55"/>
      <c r="E18" s="55"/>
      <c r="F18" s="55"/>
      <c r="G18" s="55"/>
      <c r="H18" s="55"/>
      <c r="I18" s="74" t="s">
        <v>513</v>
      </c>
      <c r="J18" s="69"/>
      <c r="K18" s="70"/>
      <c r="L18" s="55"/>
      <c r="M18" s="55"/>
      <c r="N18" s="55"/>
      <c r="O18" s="55"/>
      <c r="P18" s="55"/>
      <c r="Q18" s="55"/>
      <c r="R18" s="55"/>
      <c r="S18" s="55"/>
      <c r="T18" s="55"/>
      <c r="U18" s="55"/>
      <c r="V18" s="55"/>
    </row>
    <row r="19">
      <c r="A19" s="27"/>
      <c r="B19" s="76" t="s">
        <v>514</v>
      </c>
      <c r="C19" s="77"/>
      <c r="D19" s="77"/>
      <c r="E19" s="77"/>
      <c r="F19" s="77"/>
      <c r="G19" s="77"/>
      <c r="H19" s="55"/>
      <c r="I19" s="74" t="s">
        <v>515</v>
      </c>
      <c r="J19" s="69"/>
      <c r="K19" s="70"/>
      <c r="L19" s="55"/>
      <c r="M19" s="55"/>
      <c r="N19" s="55"/>
      <c r="O19" s="55"/>
      <c r="P19" s="55"/>
      <c r="Q19" s="55"/>
      <c r="R19" s="55"/>
      <c r="S19" s="55"/>
      <c r="T19" s="55"/>
      <c r="U19" s="55"/>
      <c r="V19" s="55"/>
    </row>
    <row r="20">
      <c r="A20" s="27"/>
      <c r="B20" s="78"/>
      <c r="C20" s="77"/>
      <c r="D20" s="77"/>
      <c r="E20" s="77"/>
      <c r="F20" s="77"/>
      <c r="G20" s="77"/>
      <c r="H20" s="55"/>
      <c r="I20" s="74" t="s">
        <v>516</v>
      </c>
      <c r="J20" s="69"/>
      <c r="K20" s="70"/>
      <c r="L20" s="55"/>
      <c r="M20" s="55"/>
      <c r="N20" s="55"/>
      <c r="O20" s="55"/>
      <c r="P20" s="55"/>
      <c r="Q20" s="55"/>
      <c r="R20" s="55"/>
      <c r="S20" s="55"/>
      <c r="T20" s="55"/>
      <c r="U20" s="55"/>
      <c r="V20" s="55"/>
    </row>
    <row r="21">
      <c r="A21" s="27"/>
      <c r="B21" s="76" t="s">
        <v>517</v>
      </c>
      <c r="C21" s="77"/>
      <c r="D21" s="77"/>
      <c r="E21" s="77"/>
      <c r="F21" s="77"/>
      <c r="G21" s="77"/>
      <c r="H21" s="55"/>
      <c r="I21" s="74" t="s">
        <v>518</v>
      </c>
      <c r="J21" s="69"/>
      <c r="K21" s="70"/>
      <c r="L21" s="55"/>
      <c r="M21" s="55"/>
      <c r="N21" s="55"/>
      <c r="O21" s="55"/>
      <c r="P21" s="55"/>
      <c r="Q21" s="55"/>
      <c r="R21" s="55"/>
      <c r="S21" s="55"/>
      <c r="T21" s="55"/>
      <c r="U21" s="55"/>
      <c r="V21" s="55"/>
    </row>
    <row r="22">
      <c r="A22" s="27"/>
      <c r="B22" s="78"/>
      <c r="C22" s="77"/>
      <c r="D22" s="77"/>
      <c r="E22" s="77"/>
      <c r="F22" s="77"/>
      <c r="G22" s="77"/>
      <c r="H22" s="55"/>
      <c r="I22" s="74" t="s">
        <v>519</v>
      </c>
      <c r="J22" s="69"/>
      <c r="K22" s="70"/>
      <c r="L22" s="55"/>
      <c r="M22" s="55"/>
      <c r="N22" s="55"/>
      <c r="O22" s="55"/>
      <c r="P22" s="55"/>
      <c r="Q22" s="55"/>
      <c r="R22" s="55"/>
      <c r="S22" s="55"/>
      <c r="T22" s="55"/>
      <c r="U22" s="55"/>
      <c r="V22" s="55"/>
    </row>
    <row r="23">
      <c r="A23" s="27"/>
      <c r="B23" s="76" t="s">
        <v>520</v>
      </c>
      <c r="C23" s="77"/>
      <c r="D23" s="77"/>
      <c r="E23" s="77"/>
      <c r="F23" s="77"/>
      <c r="G23" s="77"/>
      <c r="H23" s="55"/>
      <c r="I23" s="69"/>
      <c r="J23" s="69"/>
      <c r="K23" s="70"/>
      <c r="L23" s="55"/>
      <c r="M23" s="55"/>
      <c r="N23" s="55"/>
      <c r="O23" s="55"/>
      <c r="P23" s="55"/>
      <c r="Q23" s="55"/>
      <c r="R23" s="55"/>
      <c r="S23" s="55"/>
      <c r="T23" s="55"/>
      <c r="U23" s="55"/>
      <c r="V23" s="55"/>
    </row>
    <row r="24">
      <c r="A24" s="27"/>
      <c r="B24" s="78"/>
      <c r="C24" s="77"/>
      <c r="D24" s="77"/>
      <c r="E24" s="77"/>
      <c r="F24" s="77"/>
      <c r="G24" s="77"/>
      <c r="H24" s="55"/>
      <c r="I24" s="69"/>
      <c r="J24" s="69"/>
      <c r="K24" s="70"/>
      <c r="L24" s="55"/>
      <c r="M24" s="55"/>
      <c r="N24" s="55"/>
      <c r="O24" s="55"/>
      <c r="P24" s="55"/>
      <c r="Q24" s="55"/>
      <c r="R24" s="55"/>
      <c r="S24" s="55"/>
      <c r="T24" s="55"/>
      <c r="U24" s="55"/>
      <c r="V24" s="55"/>
    </row>
    <row r="25">
      <c r="A25" s="27"/>
      <c r="B25" s="76" t="s">
        <v>521</v>
      </c>
      <c r="C25" s="77"/>
      <c r="D25" s="77"/>
      <c r="E25" s="77"/>
      <c r="F25" s="77"/>
      <c r="G25" s="77"/>
      <c r="H25" s="55"/>
      <c r="I25" s="70"/>
      <c r="J25" s="70"/>
      <c r="K25" s="70"/>
      <c r="L25" s="55"/>
      <c r="M25" s="55"/>
      <c r="N25" s="55"/>
      <c r="O25" s="55"/>
      <c r="P25" s="55"/>
      <c r="Q25" s="55"/>
      <c r="R25" s="55"/>
      <c r="S25" s="55"/>
      <c r="T25" s="55"/>
      <c r="U25" s="55"/>
      <c r="V25" s="55"/>
    </row>
    <row r="26">
      <c r="A26" s="27"/>
      <c r="B26" s="77"/>
      <c r="C26" s="77"/>
      <c r="D26" s="77"/>
      <c r="E26" s="77"/>
      <c r="F26" s="77"/>
      <c r="G26" s="77"/>
      <c r="H26" s="55"/>
      <c r="I26" s="70"/>
      <c r="J26" s="70"/>
      <c r="K26" s="70"/>
      <c r="L26" s="55"/>
      <c r="M26" s="55"/>
      <c r="N26" s="55"/>
      <c r="O26" s="55"/>
      <c r="P26" s="55"/>
      <c r="Q26" s="55"/>
      <c r="R26" s="55"/>
      <c r="S26" s="55"/>
      <c r="T26" s="55"/>
      <c r="U26" s="55"/>
      <c r="V26" s="55"/>
    </row>
    <row r="27">
      <c r="B27" s="55"/>
      <c r="C27" s="55"/>
      <c r="D27" s="55"/>
      <c r="E27" s="55"/>
      <c r="F27" s="55"/>
      <c r="G27" s="55"/>
      <c r="H27" s="55"/>
      <c r="I27" s="55"/>
      <c r="J27" s="55"/>
      <c r="K27" s="55"/>
      <c r="L27" s="55"/>
      <c r="M27" s="55"/>
      <c r="N27" s="55"/>
      <c r="O27" s="55"/>
      <c r="P27" s="55"/>
      <c r="Q27" s="55"/>
      <c r="R27" s="55"/>
      <c r="S27" s="55"/>
      <c r="T27" s="55"/>
      <c r="U27" s="55"/>
      <c r="V27" s="55"/>
    </row>
    <row r="28">
      <c r="B28" s="55"/>
      <c r="C28" s="55"/>
      <c r="D28" s="55"/>
      <c r="E28" s="55"/>
      <c r="F28" s="55"/>
      <c r="G28" s="55"/>
      <c r="H28" s="55"/>
      <c r="I28" s="55"/>
      <c r="J28" s="55"/>
      <c r="K28" s="55"/>
      <c r="L28" s="55"/>
      <c r="M28" s="55"/>
      <c r="N28" s="55"/>
      <c r="O28" s="55"/>
      <c r="P28" s="55"/>
      <c r="Q28" s="55"/>
      <c r="R28" s="55"/>
      <c r="S28" s="55"/>
      <c r="T28" s="55"/>
      <c r="U28" s="55"/>
      <c r="V28" s="55"/>
    </row>
    <row r="29">
      <c r="B29" s="55"/>
      <c r="C29" s="55"/>
      <c r="D29" s="55"/>
      <c r="E29" s="55"/>
      <c r="F29" s="55"/>
      <c r="G29" s="55"/>
      <c r="H29" s="55"/>
      <c r="I29" s="55"/>
      <c r="J29" s="55"/>
      <c r="K29" s="55"/>
      <c r="L29" s="55"/>
      <c r="M29" s="55"/>
      <c r="N29" s="55"/>
      <c r="O29" s="55"/>
      <c r="P29" s="55"/>
      <c r="Q29" s="55"/>
      <c r="R29" s="55"/>
      <c r="S29" s="55"/>
      <c r="T29" s="55"/>
      <c r="U29" s="55"/>
      <c r="V29" s="55"/>
    </row>
    <row r="30">
      <c r="B30" s="55"/>
      <c r="C30" s="55"/>
      <c r="D30" s="55"/>
      <c r="E30" s="55"/>
      <c r="F30" s="55"/>
      <c r="G30" s="55"/>
      <c r="H30" s="55"/>
      <c r="I30" s="55"/>
      <c r="J30" s="55"/>
      <c r="K30" s="55"/>
      <c r="L30" s="55"/>
      <c r="M30" s="55"/>
      <c r="N30" s="55"/>
      <c r="O30" s="55"/>
      <c r="P30" s="55"/>
      <c r="Q30" s="55"/>
      <c r="R30" s="55"/>
      <c r="S30" s="55"/>
      <c r="T30" s="55"/>
      <c r="U30" s="55"/>
      <c r="V30" s="55"/>
    </row>
    <row r="31">
      <c r="B31" s="55"/>
      <c r="C31" s="55"/>
      <c r="D31" s="55"/>
      <c r="E31" s="55"/>
      <c r="F31" s="55"/>
      <c r="G31" s="55"/>
      <c r="H31" s="55"/>
      <c r="I31" s="55"/>
      <c r="J31" s="55"/>
      <c r="K31" s="55"/>
      <c r="L31" s="55"/>
      <c r="M31" s="55"/>
      <c r="N31" s="55"/>
      <c r="O31" s="55"/>
      <c r="P31" s="55"/>
      <c r="Q31" s="55"/>
      <c r="R31" s="55"/>
      <c r="S31" s="55"/>
      <c r="T31" s="55"/>
      <c r="U31" s="55"/>
      <c r="V31" s="55"/>
    </row>
    <row r="32">
      <c r="B32" s="55"/>
      <c r="C32" s="55"/>
      <c r="D32" s="55"/>
      <c r="E32" s="55"/>
      <c r="F32" s="55"/>
      <c r="G32" s="55"/>
      <c r="H32" s="55"/>
      <c r="I32" s="55"/>
      <c r="J32" s="55"/>
      <c r="K32" s="55"/>
      <c r="L32" s="55"/>
      <c r="M32" s="55"/>
      <c r="N32" s="55"/>
      <c r="O32" s="55"/>
      <c r="P32" s="55"/>
      <c r="Q32" s="55"/>
      <c r="R32" s="55"/>
      <c r="S32" s="55"/>
      <c r="T32" s="55"/>
      <c r="U32" s="55"/>
      <c r="V32" s="55"/>
    </row>
    <row r="33">
      <c r="B33" s="55"/>
      <c r="C33" s="55"/>
      <c r="D33" s="55"/>
      <c r="E33" s="55"/>
      <c r="F33" s="55"/>
      <c r="G33" s="55"/>
      <c r="H33" s="55"/>
      <c r="I33" s="55"/>
      <c r="J33" s="55"/>
      <c r="K33" s="55"/>
      <c r="L33" s="55"/>
      <c r="M33" s="55"/>
      <c r="N33" s="55"/>
      <c r="O33" s="55"/>
      <c r="P33" s="55"/>
      <c r="Q33" s="55"/>
      <c r="R33" s="55"/>
      <c r="S33" s="55"/>
      <c r="T33" s="55"/>
      <c r="U33" s="55"/>
      <c r="V33" s="55"/>
    </row>
    <row r="34">
      <c r="B34" s="55"/>
      <c r="C34" s="55"/>
      <c r="D34" s="55"/>
      <c r="E34" s="55"/>
      <c r="F34" s="55"/>
      <c r="G34" s="55"/>
      <c r="H34" s="55"/>
      <c r="I34" s="55"/>
      <c r="J34" s="55"/>
      <c r="K34" s="55"/>
      <c r="L34" s="55"/>
      <c r="M34" s="55"/>
      <c r="N34" s="55"/>
      <c r="O34" s="55"/>
      <c r="P34" s="55"/>
      <c r="Q34" s="55"/>
      <c r="R34" s="55"/>
      <c r="S34" s="55"/>
      <c r="T34" s="55"/>
      <c r="U34" s="55"/>
      <c r="V34" s="55"/>
    </row>
    <row r="35">
      <c r="B35" s="55"/>
      <c r="C35" s="55"/>
      <c r="D35" s="55"/>
      <c r="E35" s="55"/>
      <c r="F35" s="55"/>
      <c r="G35" s="55"/>
      <c r="H35" s="55"/>
      <c r="I35" s="55"/>
      <c r="J35" s="55"/>
      <c r="K35" s="55"/>
      <c r="L35" s="55"/>
      <c r="M35" s="55"/>
      <c r="N35" s="55"/>
      <c r="O35" s="55"/>
      <c r="P35" s="55"/>
      <c r="Q35" s="55"/>
      <c r="R35" s="55"/>
      <c r="S35" s="55"/>
      <c r="T35" s="55"/>
      <c r="U35" s="55"/>
      <c r="V35" s="55"/>
    </row>
    <row r="36">
      <c r="B36" s="55"/>
      <c r="C36" s="55"/>
      <c r="D36" s="55"/>
      <c r="E36" s="55"/>
      <c r="F36" s="55"/>
      <c r="G36" s="55"/>
      <c r="H36" s="55"/>
      <c r="I36" s="55"/>
      <c r="J36" s="55"/>
      <c r="K36" s="55"/>
      <c r="L36" s="55"/>
      <c r="M36" s="55"/>
      <c r="N36" s="55"/>
      <c r="O36" s="55"/>
      <c r="P36" s="55"/>
      <c r="Q36" s="55"/>
      <c r="R36" s="55"/>
      <c r="S36" s="55"/>
      <c r="T36" s="55"/>
      <c r="U36" s="55"/>
      <c r="V36" s="55"/>
    </row>
    <row r="37">
      <c r="B37" s="55"/>
      <c r="C37" s="55"/>
      <c r="D37" s="55"/>
      <c r="E37" s="55"/>
      <c r="F37" s="55"/>
      <c r="G37" s="55"/>
      <c r="H37" s="55"/>
      <c r="I37" s="55"/>
      <c r="J37" s="55"/>
      <c r="K37" s="55"/>
      <c r="L37" s="55"/>
      <c r="M37" s="55"/>
      <c r="N37" s="55"/>
      <c r="O37" s="55"/>
      <c r="P37" s="55"/>
      <c r="Q37" s="55"/>
      <c r="R37" s="55"/>
      <c r="S37" s="55"/>
      <c r="T37" s="55"/>
      <c r="U37" s="55"/>
      <c r="V37" s="55"/>
    </row>
    <row r="38">
      <c r="B38" s="55"/>
      <c r="C38" s="55"/>
      <c r="D38" s="55"/>
      <c r="E38" s="55"/>
      <c r="F38" s="55"/>
      <c r="G38" s="55"/>
      <c r="H38" s="55"/>
      <c r="I38" s="55"/>
      <c r="J38" s="55"/>
      <c r="K38" s="55"/>
      <c r="L38" s="55"/>
      <c r="M38" s="55"/>
      <c r="N38" s="55"/>
      <c r="O38" s="55"/>
      <c r="P38" s="55"/>
      <c r="Q38" s="55"/>
      <c r="R38" s="55"/>
      <c r="S38" s="55"/>
      <c r="T38" s="55"/>
      <c r="U38" s="55"/>
      <c r="V38" s="55"/>
    </row>
    <row r="39">
      <c r="B39" s="55"/>
      <c r="C39" s="55"/>
      <c r="D39" s="55"/>
      <c r="E39" s="55"/>
      <c r="F39" s="55"/>
      <c r="G39" s="55"/>
      <c r="H39" s="55"/>
      <c r="I39" s="55"/>
      <c r="J39" s="55"/>
      <c r="K39" s="55"/>
      <c r="L39" s="55"/>
      <c r="M39" s="55"/>
      <c r="N39" s="55"/>
      <c r="O39" s="55"/>
      <c r="P39" s="55"/>
      <c r="Q39" s="55"/>
      <c r="R39" s="55"/>
      <c r="S39" s="55"/>
      <c r="T39" s="55"/>
      <c r="U39" s="55"/>
      <c r="V39" s="55"/>
    </row>
  </sheetData>
  <drawing r:id="rId1"/>
</worksheet>
</file>